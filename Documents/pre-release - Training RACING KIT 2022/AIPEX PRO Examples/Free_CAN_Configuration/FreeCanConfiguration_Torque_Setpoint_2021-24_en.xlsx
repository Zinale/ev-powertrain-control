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Template" sheetId="8" r:id="rId1"/>
    <sheet name="Torque FrontLeft" sheetId="9" r:id="rId2"/>
    <sheet name="Torque FrontRight" sheetId="12" r:id="rId3"/>
    <sheet name="Torque RearLeft" sheetId="13" r:id="rId4"/>
    <sheet name="Torque RearRight" sheetId="11" r:id="rId5"/>
  </sheets>
  <calcPr calcId="152511"/>
</workbook>
</file>

<file path=xl/calcChain.xml><?xml version="1.0" encoding="utf-8"?>
<calcChain xmlns="http://schemas.openxmlformats.org/spreadsheetml/2006/main">
  <c r="E78" i="11" l="1"/>
  <c r="E78" i="13"/>
  <c r="E78" i="12"/>
  <c r="E78" i="9"/>
  <c r="F101" i="13" l="1"/>
  <c r="F102" i="13" s="1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7" i="13"/>
  <c r="E76" i="13"/>
  <c r="E75" i="13"/>
  <c r="E74" i="13"/>
  <c r="E73" i="13"/>
  <c r="E72" i="13"/>
  <c r="E71" i="13"/>
  <c r="E70" i="13"/>
  <c r="E69" i="13"/>
  <c r="E68" i="13"/>
  <c r="E67" i="13"/>
  <c r="E66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E18" i="13"/>
  <c r="E17" i="13"/>
  <c r="E16" i="13"/>
  <c r="E15" i="13"/>
  <c r="E14" i="13"/>
  <c r="E13" i="13"/>
  <c r="E12" i="13"/>
  <c r="E11" i="13"/>
  <c r="E10" i="13"/>
  <c r="E9" i="13"/>
  <c r="E8" i="13"/>
  <c r="E7" i="13"/>
  <c r="E5" i="13"/>
  <c r="E4" i="13"/>
  <c r="F101" i="12"/>
  <c r="F102" i="12" s="1"/>
  <c r="E96" i="12"/>
  <c r="E95" i="12"/>
  <c r="E94" i="12"/>
  <c r="E93" i="12"/>
  <c r="E92" i="12"/>
  <c r="E91" i="12"/>
  <c r="E90" i="12"/>
  <c r="E89" i="12"/>
  <c r="E88" i="12"/>
  <c r="E87" i="12"/>
  <c r="E86" i="12"/>
  <c r="E85" i="12"/>
  <c r="E84" i="12"/>
  <c r="E83" i="12"/>
  <c r="E82" i="12"/>
  <c r="E81" i="12"/>
  <c r="E80" i="12"/>
  <c r="E79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5" i="12"/>
  <c r="E4" i="12"/>
  <c r="F101" i="11"/>
  <c r="F102" i="11" s="1"/>
  <c r="E96" i="11"/>
  <c r="E95" i="11"/>
  <c r="E94" i="11"/>
  <c r="E93" i="11"/>
  <c r="E92" i="11"/>
  <c r="E91" i="11"/>
  <c r="E90" i="11"/>
  <c r="E89" i="11"/>
  <c r="E88" i="11"/>
  <c r="E87" i="11"/>
  <c r="E86" i="11"/>
  <c r="E85" i="11"/>
  <c r="E84" i="11"/>
  <c r="E83" i="11"/>
  <c r="E82" i="11"/>
  <c r="E81" i="11"/>
  <c r="E80" i="11"/>
  <c r="E79" i="11"/>
  <c r="E77" i="11"/>
  <c r="E76" i="11"/>
  <c r="E75" i="11"/>
  <c r="E74" i="11"/>
  <c r="E73" i="11"/>
  <c r="E72" i="11"/>
  <c r="E71" i="11"/>
  <c r="E70" i="11"/>
  <c r="E69" i="11"/>
  <c r="E68" i="11"/>
  <c r="E67" i="11"/>
  <c r="E66" i="11"/>
  <c r="E64" i="11"/>
  <c r="E63" i="11"/>
  <c r="E62" i="1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E38" i="11"/>
  <c r="E37" i="11"/>
  <c r="E36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5" i="11"/>
  <c r="E4" i="11"/>
  <c r="E4" i="9" l="1"/>
  <c r="E93" i="9"/>
  <c r="E92" i="9"/>
  <c r="E91" i="9"/>
  <c r="E90" i="9"/>
  <c r="E89" i="9"/>
  <c r="E88" i="9"/>
  <c r="E87" i="9"/>
  <c r="E86" i="9"/>
  <c r="E85" i="9"/>
  <c r="E84" i="9"/>
  <c r="E83" i="9"/>
  <c r="E82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4" i="9"/>
  <c r="E33" i="9"/>
  <c r="E32" i="9"/>
  <c r="E31" i="9"/>
  <c r="E30" i="9"/>
  <c r="E29" i="9"/>
  <c r="E28" i="9"/>
  <c r="E27" i="9"/>
  <c r="E26" i="9"/>
  <c r="E25" i="9"/>
  <c r="E24" i="9"/>
  <c r="E23" i="9"/>
  <c r="F101" i="9"/>
  <c r="F102" i="9" s="1"/>
  <c r="E96" i="9"/>
  <c r="E95" i="9"/>
  <c r="E94" i="9"/>
  <c r="E81" i="9"/>
  <c r="E80" i="9"/>
  <c r="E79" i="9"/>
  <c r="E77" i="9"/>
  <c r="E76" i="9"/>
  <c r="E75" i="9"/>
  <c r="E74" i="9"/>
  <c r="E73" i="9"/>
  <c r="E72" i="9"/>
  <c r="E71" i="9"/>
  <c r="E70" i="9"/>
  <c r="E69" i="9"/>
  <c r="E68" i="9"/>
  <c r="E67" i="9"/>
  <c r="E66" i="9"/>
  <c r="E64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5" i="9"/>
  <c r="E26" i="8"/>
  <c r="E25" i="8"/>
  <c r="E24" i="8"/>
  <c r="E23" i="8"/>
  <c r="E22" i="8"/>
  <c r="E21" i="8"/>
  <c r="F58" i="8"/>
  <c r="F59" i="8" s="1"/>
  <c r="E55" i="8"/>
  <c r="E52" i="8"/>
  <c r="E51" i="8"/>
  <c r="E48" i="8"/>
  <c r="E47" i="8"/>
  <c r="E46" i="8"/>
  <c r="E45" i="8"/>
  <c r="E44" i="8"/>
  <c r="E43" i="8"/>
  <c r="E40" i="8"/>
  <c r="E39" i="8"/>
  <c r="E38" i="8"/>
  <c r="E37" i="8"/>
  <c r="E36" i="8"/>
  <c r="E35" i="8"/>
  <c r="E34" i="8"/>
  <c r="E33" i="8"/>
  <c r="E32" i="8"/>
  <c r="E31" i="8"/>
  <c r="E29" i="8"/>
  <c r="E18" i="8"/>
  <c r="E17" i="8"/>
  <c r="E16" i="8"/>
  <c r="E15" i="8"/>
  <c r="E14" i="8"/>
  <c r="E13" i="8"/>
  <c r="E12" i="8"/>
  <c r="E11" i="8"/>
  <c r="E10" i="8"/>
  <c r="E9" i="8"/>
  <c r="E5" i="8"/>
  <c r="E4" i="8"/>
</calcChain>
</file>

<file path=xl/comments1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3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4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comments5.xml><?xml version="1.0" encoding="utf-8"?>
<comments xmlns="http://schemas.openxmlformats.org/spreadsheetml/2006/main">
  <authors>
    <author>Autor</author>
  </authors>
  <commentList>
    <comment ref="D1" authorId="0" shapeId="0">
      <text>
        <r>
          <rPr>
            <b/>
            <sz val="9"/>
            <color indexed="81"/>
            <rFont val="Segoe UI"/>
            <family val="2"/>
          </rPr>
          <t>The dec values are automatically converted to hex</t>
        </r>
      </text>
    </comment>
  </commentList>
</comments>
</file>

<file path=xl/sharedStrings.xml><?xml version="1.0" encoding="utf-8"?>
<sst xmlns="http://schemas.openxmlformats.org/spreadsheetml/2006/main" count="1330" uniqueCount="69">
  <si>
    <t>[1024]</t>
  </si>
  <si>
    <t>Name</t>
  </si>
  <si>
    <t>Anzahl der Signale</t>
  </si>
  <si>
    <t>Index</t>
  </si>
  <si>
    <t>Reserviert</t>
  </si>
  <si>
    <t>ID34091</t>
  </si>
  <si>
    <t>[maximum]</t>
  </si>
  <si>
    <t>*2</t>
  </si>
  <si>
    <t>[DUMMY]</t>
  </si>
  <si>
    <t>User list 3</t>
  </si>
  <si>
    <t>Mode message configuration</t>
  </si>
  <si>
    <r>
      <rPr>
        <b/>
        <sz val="11"/>
        <color theme="1"/>
        <rFont val="Arial"/>
        <family val="2"/>
      </rPr>
      <t>Selection mode</t>
    </r>
    <r>
      <rPr>
        <sz val="10"/>
        <color theme="1"/>
        <rFont val="Arial"/>
        <family val="2"/>
      </rPr>
      <t xml:space="preserve">
The 'Free CAN message configuration' is activated with the value 1.</t>
    </r>
  </si>
  <si>
    <r>
      <rPr>
        <b/>
        <sz val="11"/>
        <color theme="1"/>
        <rFont val="Arial"/>
        <family val="2"/>
      </rPr>
      <t>Begin send messages</t>
    </r>
    <r>
      <rPr>
        <sz val="10"/>
        <color theme="1"/>
        <rFont val="Arial"/>
        <family val="2"/>
      </rPr>
      <t xml:space="preserve">
Max. 10 send messages</t>
    </r>
  </si>
  <si>
    <t>Total of send messages</t>
  </si>
  <si>
    <t>Maximum possible list length</t>
  </si>
  <si>
    <t>CAN Identifier send messages 1</t>
  </si>
  <si>
    <t>Input
in
hex</t>
  </si>
  <si>
    <t>Cycle / delay time in ms</t>
  </si>
  <si>
    <r>
      <rPr>
        <b/>
        <sz val="10"/>
        <color theme="1"/>
        <rFont val="Arial"/>
        <family val="2"/>
      </rPr>
      <t>Head send message 1</t>
    </r>
    <r>
      <rPr>
        <sz val="10"/>
        <color theme="1"/>
        <rFont val="Arial"/>
        <family val="2"/>
      </rPr>
      <t xml:space="preserve">
11-bit-identifier [hex]</t>
    </r>
  </si>
  <si>
    <t>hex</t>
  </si>
  <si>
    <t>Cycle time or delay time for event-driven messages in ms.</t>
  </si>
  <si>
    <t>The data length is the sum of the configured signals. (max. 8 byte)</t>
  </si>
  <si>
    <t>Data length in byte</t>
  </si>
  <si>
    <t>Attribute</t>
  </si>
  <si>
    <t>0 = Message is sent cyclically
1 = Event driven</t>
  </si>
  <si>
    <t>Total of signals</t>
  </si>
  <si>
    <t>Total of signals (max. 8 byte per send message)</t>
  </si>
  <si>
    <t>Signal type</t>
  </si>
  <si>
    <t>Reserved</t>
  </si>
  <si>
    <t>Only value 0 is allowed.</t>
  </si>
  <si>
    <r>
      <rPr>
        <b/>
        <sz val="10"/>
        <color theme="1"/>
        <rFont val="Arial"/>
        <family val="2"/>
      </rPr>
      <t>Begin send message 1</t>
    </r>
    <r>
      <rPr>
        <sz val="10"/>
        <color theme="1"/>
        <rFont val="Arial"/>
        <family val="2"/>
      </rPr>
      <t xml:space="preserve">
0 = SERCOS parameter
2 = Special signal</t>
    </r>
  </si>
  <si>
    <t>Length in bit</t>
  </si>
  <si>
    <t>Data lenght index in bit</t>
  </si>
  <si>
    <t>Shift in bits (start bit)</t>
  </si>
  <si>
    <t>Attribute sende message</t>
  </si>
  <si>
    <t>0 = without control signal, 1 = with control signal
0 = unsigned (e.g. status word) , 2 = signed (e.g. actual torque value)
0 = higher-value bits are lost, 4 = signal is limited to the maximum valuet // Relative to 'length in bits'</t>
  </si>
  <si>
    <r>
      <rPr>
        <b/>
        <sz val="10"/>
        <color theme="1"/>
        <rFont val="Arial"/>
        <family val="2"/>
      </rPr>
      <t>Begin send message 2</t>
    </r>
    <r>
      <rPr>
        <sz val="10"/>
        <color theme="1"/>
        <rFont val="Arial"/>
        <family val="2"/>
      </rPr>
      <t xml:space="preserve">
0 = SERCOS parameter
2 = Special signal</t>
    </r>
  </si>
  <si>
    <t>Total of receive messages</t>
  </si>
  <si>
    <r>
      <rPr>
        <b/>
        <sz val="10"/>
        <color theme="1"/>
        <rFont val="Arial"/>
        <family val="2"/>
      </rPr>
      <t>Head receive message 1</t>
    </r>
    <r>
      <rPr>
        <sz val="10"/>
        <color theme="1"/>
        <rFont val="Arial"/>
        <family val="2"/>
      </rPr>
      <t xml:space="preserve">
11-bit-identifier [hex]</t>
    </r>
  </si>
  <si>
    <t>CAN Identifier receive message 1</t>
  </si>
  <si>
    <t>Telegram failure monitoring</t>
  </si>
  <si>
    <t>Up to 10 signals with a total data length of 8 bytes in a receive message.</t>
  </si>
  <si>
    <r>
      <rPr>
        <b/>
        <sz val="11"/>
        <color theme="1"/>
        <rFont val="Arial"/>
        <family val="2"/>
      </rPr>
      <t>Begin receive messages</t>
    </r>
    <r>
      <rPr>
        <sz val="10"/>
        <color theme="1"/>
        <rFont val="Arial"/>
        <family val="2"/>
      </rPr>
      <t xml:space="preserve">
Max. 10 receive messages</t>
    </r>
  </si>
  <si>
    <r>
      <rPr>
        <b/>
        <sz val="10"/>
        <color theme="1"/>
        <rFont val="Arial"/>
        <family val="2"/>
      </rPr>
      <t>Begin receive message 1</t>
    </r>
    <r>
      <rPr>
        <sz val="10"/>
        <color theme="1"/>
        <rFont val="Arial"/>
        <family val="2"/>
      </rPr>
      <t xml:space="preserve">
0 = SERCOS parameter
2 = Special signal</t>
    </r>
  </si>
  <si>
    <t>The entered value is used to specify the start bit of the signal in the message. (0..63 bit)</t>
  </si>
  <si>
    <t>0 = without control signal
1 = with control signal</t>
  </si>
  <si>
    <t>Index SERCOS or Special signal</t>
  </si>
  <si>
    <r>
      <rPr>
        <b/>
        <sz val="10"/>
        <color theme="1"/>
        <rFont val="Arial"/>
        <family val="2"/>
      </rPr>
      <t>Begin receive message 2</t>
    </r>
    <r>
      <rPr>
        <sz val="10"/>
        <color theme="1"/>
        <rFont val="Arial"/>
        <family val="2"/>
      </rPr>
      <t xml:space="preserve">
0 = SERCOS parameter
2 = Special signal</t>
    </r>
  </si>
  <si>
    <t>Attribute receive message</t>
  </si>
  <si>
    <t>Transmission rate</t>
  </si>
  <si>
    <t>Transmission rate in kBaud</t>
  </si>
  <si>
    <t>End</t>
  </si>
  <si>
    <t>At the end of the 'Free CAN message configuration', an element with the content 0 bytes must be available.</t>
  </si>
  <si>
    <t>At the end of the configuration, a maximum of 1 dummy byte may follow so that the sum of the list length results in an even number</t>
  </si>
  <si>
    <t>Note</t>
  </si>
  <si>
    <t>ID number /
element</t>
  </si>
  <si>
    <t>The value 'list length' must be adapted to the subsequent configuration. The input value is 2 bytes and is in Dec (regardless of the specification in the Type field)
If the sum of the list elements results in an odd number, then a DUMMY byte is inserted at the end.</t>
  </si>
  <si>
    <t>Time in ms, 0 = without monitoring</t>
  </si>
  <si>
    <t>Dec
Value</t>
  </si>
  <si>
    <t>Hex
Value</t>
  </si>
  <si>
    <t>Type</t>
  </si>
  <si>
    <t>Sum in bytes</t>
  </si>
  <si>
    <t xml:space="preserve">List length in 2 bytes = </t>
  </si>
  <si>
    <t>Length
in byte</t>
  </si>
  <si>
    <r>
      <rPr>
        <b/>
        <sz val="10"/>
        <color theme="1"/>
        <rFont val="Arial"/>
        <family val="2"/>
      </rPr>
      <t>Begin send message 3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</si>
  <si>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send message 4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</si>
  <si>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receive message 3</t>
    </r>
    <r>
      <rPr>
        <sz val="10"/>
        <color theme="1"/>
        <rFont val="Arial"/>
        <family val="2"/>
      </rPr>
      <t xml:space="preserve">
0 = SERCOS parameter
2 = Special signal</t>
    </r>
  </si>
  <si>
    <r>
      <rPr>
        <b/>
        <sz val="10"/>
        <color theme="1"/>
        <rFont val="Arial"/>
        <family val="2"/>
      </rPr>
      <t>Begin receive message 4</t>
    </r>
    <r>
      <rPr>
        <sz val="10"/>
        <color theme="1"/>
        <rFont val="Arial"/>
        <family val="2"/>
      </rPr>
      <t xml:space="preserve">
0 = SERCOS parameter
2 = Special signal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</si>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</sst>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8"/>
      <color theme="1"/>
      <name val="Arial"/>
      <family val="2"/>
    </font>
    <font>
      <b/>
      <sz val="9"/>
      <color indexed="8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6" borderId="23" xfId="0" applyFont="1" applyFill="1" applyBorder="1"/>
    <xf numFmtId="0" fontId="2" fillId="0" borderId="0" xfId="0" applyFont="1" applyAlignment="1">
      <alignment horizontal="center"/>
    </xf>
    <xf numFmtId="0" fontId="2" fillId="6" borderId="11" xfId="0" applyFont="1" applyFill="1" applyBorder="1"/>
    <xf numFmtId="0" fontId="2" fillId="6" borderId="22" xfId="0" applyFont="1" applyFill="1" applyBorder="1"/>
    <xf numFmtId="0" fontId="2" fillId="6" borderId="10" xfId="0" applyFont="1" applyFill="1" applyBorder="1"/>
    <xf numFmtId="0" fontId="2" fillId="6" borderId="12" xfId="0" applyFont="1" applyFill="1" applyBorder="1"/>
    <xf numFmtId="0" fontId="2" fillId="6" borderId="21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1" xfId="0" applyFont="1" applyFill="1" applyBorder="1" applyAlignment="1">
      <alignment wrapText="1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Border="1"/>
    <xf numFmtId="0" fontId="2" fillId="2" borderId="14" xfId="0" applyFont="1" applyFill="1" applyBorder="1"/>
    <xf numFmtId="0" fontId="2" fillId="2" borderId="5" xfId="0" applyFont="1" applyFill="1" applyBorder="1"/>
    <xf numFmtId="0" fontId="2" fillId="2" borderId="19" xfId="0" applyFont="1" applyFill="1" applyBorder="1"/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wrapText="1"/>
    </xf>
    <xf numFmtId="0" fontId="2" fillId="2" borderId="20" xfId="0" applyFont="1" applyFill="1" applyBorder="1"/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18" xfId="0" applyFont="1" applyFill="1" applyBorder="1" applyAlignment="1">
      <alignment wrapText="1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9" xfId="0" applyFont="1" applyFill="1" applyBorder="1"/>
    <xf numFmtId="0" fontId="2" fillId="5" borderId="19" xfId="0" applyFont="1" applyFill="1" applyBorder="1" applyAlignment="1">
      <alignment wrapText="1"/>
    </xf>
    <xf numFmtId="0" fontId="2" fillId="5" borderId="7" xfId="0" applyFont="1" applyFill="1" applyBorder="1" applyAlignment="1">
      <alignment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wrapText="1"/>
    </xf>
    <xf numFmtId="0" fontId="2" fillId="2" borderId="16" xfId="0" applyFont="1" applyFill="1" applyBorder="1"/>
    <xf numFmtId="0" fontId="2" fillId="4" borderId="13" xfId="0" applyFont="1" applyFill="1" applyBorder="1" applyAlignment="1">
      <alignment horizontal="center"/>
    </xf>
    <xf numFmtId="0" fontId="2" fillId="4" borderId="0" xfId="0" applyFont="1" applyFill="1" applyBorder="1"/>
    <xf numFmtId="0" fontId="2" fillId="4" borderId="14" xfId="0" applyFont="1" applyFill="1" applyBorder="1"/>
    <xf numFmtId="0" fontId="2" fillId="4" borderId="5" xfId="0" applyFont="1" applyFill="1" applyBorder="1"/>
    <xf numFmtId="0" fontId="2" fillId="4" borderId="19" xfId="0" applyFont="1" applyFill="1" applyBorder="1"/>
    <xf numFmtId="0" fontId="2" fillId="4" borderId="13" xfId="0" applyFont="1" applyFill="1" applyBorder="1"/>
    <xf numFmtId="0" fontId="2" fillId="4" borderId="7" xfId="0" applyFont="1" applyFill="1" applyBorder="1"/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16" xfId="0" applyFont="1" applyFill="1" applyBorder="1"/>
    <xf numFmtId="0" fontId="2" fillId="4" borderId="17" xfId="0" applyFont="1" applyFill="1" applyBorder="1"/>
    <xf numFmtId="0" fontId="2" fillId="0" borderId="0" xfId="0" applyFont="1" applyFill="1" applyBorder="1" applyAlignment="1">
      <alignment horizontal="center"/>
    </xf>
    <xf numFmtId="0" fontId="2" fillId="6" borderId="3" xfId="0" applyFont="1" applyFill="1" applyBorder="1"/>
    <xf numFmtId="0" fontId="2" fillId="6" borderId="3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14" xfId="0" applyFont="1" applyFill="1" applyBorder="1"/>
    <xf numFmtId="0" fontId="2" fillId="6" borderId="15" xfId="0" applyFont="1" applyFill="1" applyBorder="1"/>
    <xf numFmtId="0" fontId="2" fillId="6" borderId="8" xfId="0" applyFont="1" applyFill="1" applyBorder="1" applyAlignment="1">
      <alignment horizontal="center"/>
    </xf>
    <xf numFmtId="0" fontId="2" fillId="6" borderId="16" xfId="0" applyFont="1" applyFill="1" applyBorder="1"/>
    <xf numFmtId="0" fontId="2" fillId="6" borderId="17" xfId="0" applyFont="1" applyFill="1" applyBorder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5" fillId="6" borderId="21" xfId="0" applyFont="1" applyFill="1" applyBorder="1" applyAlignment="1">
      <alignment horizontal="center"/>
    </xf>
    <xf numFmtId="0" fontId="0" fillId="0" borderId="0" xfId="0" applyFont="1"/>
    <xf numFmtId="0" fontId="2" fillId="3" borderId="18" xfId="0" applyFont="1" applyFill="1" applyBorder="1" applyAlignment="1">
      <alignment wrapText="1"/>
    </xf>
    <xf numFmtId="0" fontId="2" fillId="3" borderId="19" xfId="0" applyFont="1" applyFill="1" applyBorder="1"/>
    <xf numFmtId="0" fontId="2" fillId="3" borderId="20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/>
    <xf numFmtId="0" fontId="2" fillId="0" borderId="2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6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0" fontId="6" fillId="6" borderId="10" xfId="0" applyFont="1" applyFill="1" applyBorder="1" applyAlignment="1">
      <alignment vertical="top" wrapText="1"/>
    </xf>
    <xf numFmtId="0" fontId="2" fillId="0" borderId="31" xfId="0" applyFont="1" applyBorder="1"/>
    <xf numFmtId="0" fontId="2" fillId="0" borderId="21" xfId="0" applyFont="1" applyBorder="1"/>
    <xf numFmtId="0" fontId="2" fillId="0" borderId="23" xfId="0" applyFont="1" applyBorder="1"/>
    <xf numFmtId="0" fontId="2" fillId="6" borderId="13" xfId="0" applyFont="1" applyFill="1" applyBorder="1" applyAlignment="1">
      <alignment wrapText="1"/>
    </xf>
    <xf numFmtId="0" fontId="2" fillId="4" borderId="10" xfId="0" applyFont="1" applyFill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15" xfId="0" applyFont="1" applyFill="1" applyBorder="1"/>
    <xf numFmtId="0" fontId="2" fillId="4" borderId="10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wrapText="1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5" xfId="0" applyFont="1" applyFill="1" applyBorder="1" applyAlignment="1">
      <alignment horizontal="center"/>
    </xf>
    <xf numFmtId="0" fontId="2" fillId="2" borderId="17" xfId="0" applyFont="1" applyFill="1" applyBorder="1"/>
    <xf numFmtId="0" fontId="7" fillId="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/>
    </xf>
    <xf numFmtId="0" fontId="1" fillId="6" borderId="29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vertical="center"/>
    </xf>
    <xf numFmtId="0" fontId="2" fillId="7" borderId="2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6" fillId="7" borderId="27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" fillId="6" borderId="8" xfId="0" applyFont="1" applyFill="1" applyBorder="1"/>
    <xf numFmtId="0" fontId="2" fillId="6" borderId="21" xfId="0" applyFont="1" applyFill="1" applyBorder="1"/>
    <xf numFmtId="0" fontId="6" fillId="6" borderId="25" xfId="0" applyFont="1" applyFill="1" applyBorder="1"/>
    <xf numFmtId="0" fontId="6" fillId="6" borderId="25" xfId="0" applyFont="1" applyFill="1" applyBorder="1" applyAlignment="1">
      <alignment horizontal="center"/>
    </xf>
    <xf numFmtId="0" fontId="6" fillId="6" borderId="21" xfId="0" applyFont="1" applyFill="1" applyBorder="1"/>
    <xf numFmtId="0" fontId="6" fillId="7" borderId="8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/>
    </xf>
    <xf numFmtId="0" fontId="6" fillId="0" borderId="25" xfId="0" applyFont="1" applyBorder="1" applyAlignment="1">
      <alignment horizontal="center"/>
    </xf>
    <xf numFmtId="0" fontId="2" fillId="6" borderId="4" xfId="0" applyFont="1" applyFill="1" applyBorder="1" applyAlignment="1">
      <alignment horizontal="center" vertical="center"/>
    </xf>
    <xf numFmtId="0" fontId="2" fillId="6" borderId="27" xfId="0" applyFont="1" applyFill="1" applyBorder="1" applyAlignment="1">
      <alignment vertical="center"/>
    </xf>
    <xf numFmtId="0" fontId="2" fillId="6" borderId="25" xfId="0" applyFont="1" applyFill="1" applyBorder="1" applyAlignment="1">
      <alignment vertical="center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4" borderId="30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6" borderId="29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9"/>
  <sheetViews>
    <sheetView topLeftCell="A19" zoomScaleNormal="100" workbookViewId="0">
      <selection activeCell="E37" sqref="C37:E37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28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55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141" t="s">
        <v>5</v>
      </c>
      <c r="B2" s="65"/>
      <c r="C2" s="143" t="s">
        <v>9</v>
      </c>
      <c r="D2" s="123"/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14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14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142">
        <v>3</v>
      </c>
      <c r="B5" s="57"/>
      <c r="C5" s="127" t="s">
        <v>13</v>
      </c>
      <c r="D5" s="109"/>
      <c r="E5" s="97" t="str">
        <f xml:space="preserve"> DEC2HEX(D5)</f>
        <v>0</v>
      </c>
      <c r="F5" s="63">
        <v>1</v>
      </c>
      <c r="G5" s="64" t="s">
        <v>19</v>
      </c>
      <c r="H5" s="3"/>
      <c r="I5" s="11" t="s">
        <v>12</v>
      </c>
      <c r="J5" s="3"/>
    </row>
    <row r="6" spans="1:10" x14ac:dyDescent="0.45">
      <c r="A6" s="4"/>
      <c r="E6" s="58"/>
    </row>
    <row r="7" spans="1:10" ht="14.65" thickBot="1" x14ac:dyDescent="0.5">
      <c r="A7" s="4"/>
      <c r="E7" s="58"/>
    </row>
    <row r="8" spans="1:10" ht="25.9" x14ac:dyDescent="0.45">
      <c r="A8" s="4"/>
      <c r="B8" s="89"/>
      <c r="C8" s="101" t="s">
        <v>15</v>
      </c>
      <c r="D8" s="94" t="s">
        <v>68</v>
      </c>
      <c r="E8" s="110"/>
      <c r="F8" s="102">
        <v>2</v>
      </c>
      <c r="G8" s="103" t="s">
        <v>19</v>
      </c>
      <c r="H8" s="90"/>
      <c r="I8" s="99" t="s">
        <v>18</v>
      </c>
      <c r="J8" s="91"/>
    </row>
    <row r="9" spans="1:10" x14ac:dyDescent="0.45">
      <c r="A9" s="4"/>
      <c r="B9" s="12"/>
      <c r="C9" s="15" t="s">
        <v>17</v>
      </c>
      <c r="D9" s="111"/>
      <c r="E9" s="48" t="str">
        <f t="shared" ref="E9:E18" si="0" xml:space="preserve"> DEC2HEX(D9)</f>
        <v>0</v>
      </c>
      <c r="F9" s="18">
        <v>2</v>
      </c>
      <c r="G9" s="19" t="s">
        <v>19</v>
      </c>
      <c r="H9" s="13"/>
      <c r="I9" s="16" t="s">
        <v>20</v>
      </c>
      <c r="J9" s="14"/>
    </row>
    <row r="10" spans="1:10" x14ac:dyDescent="0.45">
      <c r="A10" s="4"/>
      <c r="B10" s="12"/>
      <c r="C10" s="15" t="s">
        <v>22</v>
      </c>
      <c r="D10" s="111"/>
      <c r="E10" s="48" t="str">
        <f t="shared" si="0"/>
        <v>0</v>
      </c>
      <c r="F10" s="18">
        <v>1</v>
      </c>
      <c r="G10" s="19" t="s">
        <v>19</v>
      </c>
      <c r="H10" s="13"/>
      <c r="I10" s="16" t="s">
        <v>21</v>
      </c>
      <c r="J10" s="14"/>
    </row>
    <row r="11" spans="1:10" ht="26.25" x14ac:dyDescent="0.45">
      <c r="A11" s="4"/>
      <c r="B11" s="12"/>
      <c r="C11" s="17" t="s">
        <v>23</v>
      </c>
      <c r="D11" s="111"/>
      <c r="E11" s="48" t="str">
        <f t="shared" si="0"/>
        <v>0</v>
      </c>
      <c r="F11" s="18">
        <v>1</v>
      </c>
      <c r="G11" s="19" t="s">
        <v>19</v>
      </c>
      <c r="H11" s="13"/>
      <c r="I11" s="20" t="s">
        <v>24</v>
      </c>
      <c r="J11" s="14"/>
    </row>
    <row r="12" spans="1:10" ht="14.65" thickBot="1" x14ac:dyDescent="0.5">
      <c r="A12" s="4"/>
      <c r="B12" s="12"/>
      <c r="C12" s="128" t="s">
        <v>25</v>
      </c>
      <c r="D12" s="113"/>
      <c r="E12" s="97" t="str">
        <f t="shared" si="0"/>
        <v>0</v>
      </c>
      <c r="F12" s="129">
        <v>1</v>
      </c>
      <c r="G12" s="130" t="s">
        <v>19</v>
      </c>
      <c r="H12" s="13"/>
      <c r="I12" s="21" t="s">
        <v>26</v>
      </c>
      <c r="J12" s="14"/>
    </row>
    <row r="13" spans="1:10" ht="39.4" x14ac:dyDescent="0.45">
      <c r="A13" s="4"/>
      <c r="B13" s="12"/>
      <c r="C13" s="22" t="s">
        <v>27</v>
      </c>
      <c r="D13" s="112"/>
      <c r="E13" s="66" t="str">
        <f t="shared" si="0"/>
        <v>0</v>
      </c>
      <c r="F13" s="23">
        <v>1</v>
      </c>
      <c r="G13" s="131" t="s">
        <v>19</v>
      </c>
      <c r="H13" s="13"/>
      <c r="I13" s="24" t="s">
        <v>30</v>
      </c>
      <c r="J13" s="14"/>
    </row>
    <row r="14" spans="1:10" x14ac:dyDescent="0.45">
      <c r="A14" s="4"/>
      <c r="B14" s="12"/>
      <c r="C14" s="25" t="s">
        <v>28</v>
      </c>
      <c r="D14" s="115">
        <v>0</v>
      </c>
      <c r="E14" s="48" t="str">
        <f t="shared" si="0"/>
        <v>0</v>
      </c>
      <c r="F14" s="26">
        <v>1</v>
      </c>
      <c r="G14" s="19" t="s">
        <v>19</v>
      </c>
      <c r="H14" s="13"/>
      <c r="I14" s="27" t="s">
        <v>29</v>
      </c>
      <c r="J14" s="14"/>
    </row>
    <row r="15" spans="1:10" x14ac:dyDescent="0.45">
      <c r="A15" s="4"/>
      <c r="B15" s="12"/>
      <c r="C15" s="25" t="s">
        <v>3</v>
      </c>
      <c r="D15" s="111"/>
      <c r="E15" s="48" t="str">
        <f t="shared" si="0"/>
        <v>0</v>
      </c>
      <c r="F15" s="26">
        <v>2</v>
      </c>
      <c r="G15" s="19" t="s">
        <v>19</v>
      </c>
      <c r="H15" s="13"/>
      <c r="I15" s="28" t="s">
        <v>46</v>
      </c>
      <c r="J15" s="14"/>
    </row>
    <row r="16" spans="1:10" x14ac:dyDescent="0.45">
      <c r="A16" s="4"/>
      <c r="B16" s="12"/>
      <c r="C16" s="25" t="s">
        <v>31</v>
      </c>
      <c r="D16" s="111"/>
      <c r="E16" s="48" t="str">
        <f t="shared" si="0"/>
        <v>0</v>
      </c>
      <c r="F16" s="26">
        <v>1</v>
      </c>
      <c r="G16" s="19" t="s">
        <v>19</v>
      </c>
      <c r="H16" s="13"/>
      <c r="I16" s="27" t="s">
        <v>32</v>
      </c>
      <c r="J16" s="14"/>
    </row>
    <row r="17" spans="1:10" x14ac:dyDescent="0.45">
      <c r="A17" s="4"/>
      <c r="B17" s="12"/>
      <c r="C17" s="25" t="s">
        <v>33</v>
      </c>
      <c r="D17" s="111"/>
      <c r="E17" s="48" t="str">
        <f t="shared" si="0"/>
        <v>0</v>
      </c>
      <c r="F17" s="26">
        <v>1</v>
      </c>
      <c r="G17" s="19" t="s">
        <v>19</v>
      </c>
      <c r="H17" s="13"/>
      <c r="I17" s="28" t="s">
        <v>44</v>
      </c>
      <c r="J17" s="14"/>
    </row>
    <row r="18" spans="1:10" ht="39.4" thickBot="1" x14ac:dyDescent="0.5">
      <c r="A18" s="4"/>
      <c r="B18" s="92"/>
      <c r="C18" s="29" t="s">
        <v>34</v>
      </c>
      <c r="D18" s="113"/>
      <c r="E18" s="97" t="str">
        <f t="shared" si="0"/>
        <v>0</v>
      </c>
      <c r="F18" s="30">
        <v>1</v>
      </c>
      <c r="G18" s="132" t="s">
        <v>19</v>
      </c>
      <c r="H18" s="32"/>
      <c r="I18" s="31" t="s">
        <v>35</v>
      </c>
      <c r="J18" s="93"/>
    </row>
    <row r="19" spans="1:10" x14ac:dyDescent="0.45">
      <c r="A19" s="4"/>
      <c r="E19" s="58"/>
    </row>
    <row r="20" spans="1:10" ht="14.65" thickBot="1" x14ac:dyDescent="0.5">
      <c r="A20" s="4"/>
      <c r="E20" s="58"/>
    </row>
    <row r="21" spans="1:10" ht="39.4" x14ac:dyDescent="0.45">
      <c r="A21" s="4"/>
      <c r="B21" s="89"/>
      <c r="C21" s="22" t="s">
        <v>27</v>
      </c>
      <c r="D21" s="112"/>
      <c r="E21" s="66" t="str">
        <f t="shared" ref="E21:E26" si="1" xml:space="preserve"> DEC2HEX(D21)</f>
        <v>0</v>
      </c>
      <c r="F21" s="23">
        <v>1</v>
      </c>
      <c r="G21" s="131" t="s">
        <v>19</v>
      </c>
      <c r="H21" s="90"/>
      <c r="I21" s="24" t="s">
        <v>36</v>
      </c>
      <c r="J21" s="91"/>
    </row>
    <row r="22" spans="1:10" x14ac:dyDescent="0.45">
      <c r="A22" s="4"/>
      <c r="B22" s="12"/>
      <c r="C22" s="25" t="s">
        <v>28</v>
      </c>
      <c r="D22" s="115">
        <v>0</v>
      </c>
      <c r="E22" s="48" t="str">
        <f t="shared" si="1"/>
        <v>0</v>
      </c>
      <c r="F22" s="26">
        <v>1</v>
      </c>
      <c r="G22" s="19" t="s">
        <v>19</v>
      </c>
      <c r="H22" s="13"/>
      <c r="I22" s="27" t="s">
        <v>29</v>
      </c>
      <c r="J22" s="14"/>
    </row>
    <row r="23" spans="1:10" x14ac:dyDescent="0.45">
      <c r="A23" s="4"/>
      <c r="B23" s="12"/>
      <c r="C23" s="25" t="s">
        <v>3</v>
      </c>
      <c r="D23" s="111"/>
      <c r="E23" s="48" t="str">
        <f t="shared" si="1"/>
        <v>0</v>
      </c>
      <c r="F23" s="26">
        <v>2</v>
      </c>
      <c r="G23" s="19" t="s">
        <v>19</v>
      </c>
      <c r="H23" s="13"/>
      <c r="I23" s="28" t="s">
        <v>46</v>
      </c>
      <c r="J23" s="14"/>
    </row>
    <row r="24" spans="1:10" x14ac:dyDescent="0.45">
      <c r="A24" s="4"/>
      <c r="B24" s="12"/>
      <c r="C24" s="25" t="s">
        <v>31</v>
      </c>
      <c r="D24" s="111"/>
      <c r="E24" s="48" t="str">
        <f t="shared" si="1"/>
        <v>0</v>
      </c>
      <c r="F24" s="26">
        <v>1</v>
      </c>
      <c r="G24" s="19" t="s">
        <v>19</v>
      </c>
      <c r="H24" s="13"/>
      <c r="I24" s="27" t="s">
        <v>32</v>
      </c>
      <c r="J24" s="14"/>
    </row>
    <row r="25" spans="1:10" x14ac:dyDescent="0.45">
      <c r="A25" s="4"/>
      <c r="B25" s="12"/>
      <c r="C25" s="25" t="s">
        <v>33</v>
      </c>
      <c r="D25" s="111"/>
      <c r="E25" s="48" t="str">
        <f t="shared" si="1"/>
        <v>0</v>
      </c>
      <c r="F25" s="26">
        <v>1</v>
      </c>
      <c r="G25" s="19" t="s">
        <v>19</v>
      </c>
      <c r="H25" s="13"/>
      <c r="I25" s="28" t="s">
        <v>44</v>
      </c>
      <c r="J25" s="14"/>
    </row>
    <row r="26" spans="1:10" ht="39.4" thickBot="1" x14ac:dyDescent="0.5">
      <c r="A26" s="4"/>
      <c r="B26" s="92"/>
      <c r="C26" s="29" t="s">
        <v>34</v>
      </c>
      <c r="D26" s="113"/>
      <c r="E26" s="97" t="str">
        <f t="shared" si="1"/>
        <v>0</v>
      </c>
      <c r="F26" s="30">
        <v>1</v>
      </c>
      <c r="G26" s="132" t="s">
        <v>19</v>
      </c>
      <c r="H26" s="32"/>
      <c r="I26" s="31" t="s">
        <v>35</v>
      </c>
      <c r="J26" s="93"/>
    </row>
    <row r="27" spans="1:10" x14ac:dyDescent="0.45">
      <c r="A27" s="4"/>
      <c r="E27" s="58"/>
    </row>
    <row r="28" spans="1:10" ht="14.65" thickBot="1" x14ac:dyDescent="0.5">
      <c r="A28" s="4"/>
      <c r="E28" s="58"/>
    </row>
    <row r="29" spans="1:10" ht="27.75" thickBot="1" x14ac:dyDescent="0.5">
      <c r="A29" s="4"/>
      <c r="B29" s="9"/>
      <c r="C29" s="127" t="s">
        <v>37</v>
      </c>
      <c r="D29" s="109"/>
      <c r="E29" s="63" t="str">
        <f xml:space="preserve"> DEC2HEX(D29)</f>
        <v>0</v>
      </c>
      <c r="F29" s="63">
        <v>1</v>
      </c>
      <c r="G29" s="104"/>
      <c r="H29" s="6"/>
      <c r="I29" s="11" t="s">
        <v>42</v>
      </c>
      <c r="J29" s="3"/>
    </row>
    <row r="30" spans="1:10" ht="25.9" x14ac:dyDescent="0.45">
      <c r="A30" s="4"/>
      <c r="B30" s="86"/>
      <c r="C30" s="108" t="s">
        <v>39</v>
      </c>
      <c r="D30" s="87" t="s">
        <v>68</v>
      </c>
      <c r="E30" s="110"/>
      <c r="F30" s="95">
        <v>2</v>
      </c>
      <c r="G30" s="136" t="s">
        <v>19</v>
      </c>
      <c r="H30" s="83"/>
      <c r="I30" s="100" t="s">
        <v>38</v>
      </c>
      <c r="J30" s="84"/>
    </row>
    <row r="31" spans="1:10" x14ac:dyDescent="0.45">
      <c r="A31" s="4"/>
      <c r="B31" s="33"/>
      <c r="C31" s="36" t="s">
        <v>40</v>
      </c>
      <c r="D31" s="111"/>
      <c r="E31" s="48" t="str">
        <f t="shared" ref="E31:E40" si="2" xml:space="preserve"> DEC2HEX(D31)</f>
        <v>0</v>
      </c>
      <c r="F31" s="105">
        <v>2</v>
      </c>
      <c r="G31" s="106" t="s">
        <v>19</v>
      </c>
      <c r="H31" s="34"/>
      <c r="I31" s="37" t="s">
        <v>57</v>
      </c>
      <c r="J31" s="35"/>
    </row>
    <row r="32" spans="1:10" x14ac:dyDescent="0.45">
      <c r="A32" s="4"/>
      <c r="B32" s="33"/>
      <c r="C32" s="36" t="s">
        <v>22</v>
      </c>
      <c r="D32" s="111"/>
      <c r="E32" s="48" t="str">
        <f t="shared" si="2"/>
        <v>0</v>
      </c>
      <c r="F32" s="105">
        <v>1</v>
      </c>
      <c r="G32" s="106" t="s">
        <v>19</v>
      </c>
      <c r="H32" s="34"/>
      <c r="I32" s="37" t="s">
        <v>21</v>
      </c>
      <c r="J32" s="35"/>
    </row>
    <row r="33" spans="1:10" x14ac:dyDescent="0.45">
      <c r="A33" s="4"/>
      <c r="B33" s="38"/>
      <c r="C33" s="36" t="s">
        <v>4</v>
      </c>
      <c r="D33" s="115">
        <v>0</v>
      </c>
      <c r="E33" s="48" t="str">
        <f t="shared" si="2"/>
        <v>0</v>
      </c>
      <c r="F33" s="105">
        <v>1</v>
      </c>
      <c r="G33" s="106" t="s">
        <v>19</v>
      </c>
      <c r="H33" s="34"/>
      <c r="I33" s="37" t="s">
        <v>29</v>
      </c>
      <c r="J33" s="35"/>
    </row>
    <row r="34" spans="1:10" ht="14.65" thickBot="1" x14ac:dyDescent="0.5">
      <c r="A34" s="4"/>
      <c r="B34" s="85"/>
      <c r="C34" s="39" t="s">
        <v>2</v>
      </c>
      <c r="D34" s="113"/>
      <c r="E34" s="97" t="str">
        <f t="shared" si="2"/>
        <v>0</v>
      </c>
      <c r="F34" s="107">
        <v>1</v>
      </c>
      <c r="G34" s="137" t="s">
        <v>19</v>
      </c>
      <c r="H34" s="43"/>
      <c r="I34" s="88" t="s">
        <v>41</v>
      </c>
      <c r="J34" s="44"/>
    </row>
    <row r="35" spans="1:10" ht="39.4" x14ac:dyDescent="0.45">
      <c r="A35" s="45"/>
      <c r="B35" s="82"/>
      <c r="C35" s="133" t="s">
        <v>27</v>
      </c>
      <c r="D35" s="112"/>
      <c r="E35" s="66" t="str">
        <f t="shared" si="2"/>
        <v>0</v>
      </c>
      <c r="F35" s="40">
        <v>1</v>
      </c>
      <c r="G35" s="138" t="s">
        <v>19</v>
      </c>
      <c r="H35" s="83"/>
      <c r="I35" s="59" t="s">
        <v>43</v>
      </c>
      <c r="J35" s="84"/>
    </row>
    <row r="36" spans="1:10" x14ac:dyDescent="0.45">
      <c r="A36" s="45"/>
      <c r="B36" s="38"/>
      <c r="C36" s="134" t="s">
        <v>28</v>
      </c>
      <c r="D36" s="115">
        <v>0</v>
      </c>
      <c r="E36" s="48" t="str">
        <f t="shared" si="2"/>
        <v>0</v>
      </c>
      <c r="F36" s="41">
        <v>1</v>
      </c>
      <c r="G36" s="62" t="s">
        <v>19</v>
      </c>
      <c r="H36" s="34"/>
      <c r="I36" s="60" t="s">
        <v>29</v>
      </c>
      <c r="J36" s="35"/>
    </row>
    <row r="37" spans="1:10" x14ac:dyDescent="0.45">
      <c r="B37" s="38"/>
      <c r="C37" s="134" t="s">
        <v>3</v>
      </c>
      <c r="D37" s="111"/>
      <c r="E37" s="48" t="str">
        <f t="shared" si="2"/>
        <v>0</v>
      </c>
      <c r="F37" s="41">
        <v>2</v>
      </c>
      <c r="G37" s="62" t="s">
        <v>19</v>
      </c>
      <c r="H37" s="34"/>
      <c r="I37" s="60" t="s">
        <v>46</v>
      </c>
      <c r="J37" s="35"/>
    </row>
    <row r="38" spans="1:10" x14ac:dyDescent="0.45">
      <c r="B38" s="38"/>
      <c r="C38" s="134" t="s">
        <v>31</v>
      </c>
      <c r="D38" s="111"/>
      <c r="E38" s="48" t="str">
        <f t="shared" si="2"/>
        <v>0</v>
      </c>
      <c r="F38" s="41">
        <v>1</v>
      </c>
      <c r="G38" s="62" t="s">
        <v>19</v>
      </c>
      <c r="H38" s="34"/>
      <c r="I38" s="60" t="s">
        <v>32</v>
      </c>
      <c r="J38" s="35"/>
    </row>
    <row r="39" spans="1:10" x14ac:dyDescent="0.45">
      <c r="B39" s="38"/>
      <c r="C39" s="134" t="s">
        <v>33</v>
      </c>
      <c r="D39" s="111"/>
      <c r="E39" s="48" t="str">
        <f t="shared" si="2"/>
        <v>0</v>
      </c>
      <c r="F39" s="41">
        <v>1</v>
      </c>
      <c r="G39" s="62" t="s">
        <v>19</v>
      </c>
      <c r="H39" s="34"/>
      <c r="I39" s="60" t="s">
        <v>44</v>
      </c>
      <c r="J39" s="35"/>
    </row>
    <row r="40" spans="1:10" ht="25.9" thickBot="1" x14ac:dyDescent="0.5">
      <c r="B40" s="85"/>
      <c r="C40" s="135" t="s">
        <v>48</v>
      </c>
      <c r="D40" s="113"/>
      <c r="E40" s="97" t="str">
        <f t="shared" si="2"/>
        <v>0</v>
      </c>
      <c r="F40" s="42">
        <v>1</v>
      </c>
      <c r="G40" s="139" t="s">
        <v>19</v>
      </c>
      <c r="H40" s="43"/>
      <c r="I40" s="61" t="s">
        <v>45</v>
      </c>
      <c r="J40" s="44"/>
    </row>
    <row r="42" spans="1:10" ht="14.65" thickBot="1" x14ac:dyDescent="0.5"/>
    <row r="43" spans="1:10" ht="39.4" x14ac:dyDescent="0.45">
      <c r="B43" s="82"/>
      <c r="C43" s="133" t="s">
        <v>27</v>
      </c>
      <c r="D43" s="112"/>
      <c r="E43" s="66" t="str">
        <f t="shared" ref="E43:E48" si="3" xml:space="preserve"> DEC2HEX(D43)</f>
        <v>0</v>
      </c>
      <c r="F43" s="40">
        <v>1</v>
      </c>
      <c r="G43" s="138" t="s">
        <v>19</v>
      </c>
      <c r="H43" s="83"/>
      <c r="I43" s="59" t="s">
        <v>47</v>
      </c>
      <c r="J43" s="84"/>
    </row>
    <row r="44" spans="1:10" x14ac:dyDescent="0.45">
      <c r="B44" s="38"/>
      <c r="C44" s="134" t="s">
        <v>28</v>
      </c>
      <c r="D44" s="115">
        <v>0</v>
      </c>
      <c r="E44" s="48" t="str">
        <f t="shared" si="3"/>
        <v>0</v>
      </c>
      <c r="F44" s="41">
        <v>1</v>
      </c>
      <c r="G44" s="62" t="s">
        <v>19</v>
      </c>
      <c r="H44" s="34"/>
      <c r="I44" s="60" t="s">
        <v>29</v>
      </c>
      <c r="J44" s="35"/>
    </row>
    <row r="45" spans="1:10" x14ac:dyDescent="0.45">
      <c r="B45" s="38"/>
      <c r="C45" s="134" t="s">
        <v>3</v>
      </c>
      <c r="D45" s="111"/>
      <c r="E45" s="48" t="str">
        <f t="shared" si="3"/>
        <v>0</v>
      </c>
      <c r="F45" s="41">
        <v>2</v>
      </c>
      <c r="G45" s="62" t="s">
        <v>19</v>
      </c>
      <c r="H45" s="34"/>
      <c r="I45" s="60" t="s">
        <v>46</v>
      </c>
      <c r="J45" s="35"/>
    </row>
    <row r="46" spans="1:10" x14ac:dyDescent="0.45">
      <c r="B46" s="38"/>
      <c r="C46" s="134" t="s">
        <v>31</v>
      </c>
      <c r="D46" s="111"/>
      <c r="E46" s="48" t="str">
        <f t="shared" si="3"/>
        <v>0</v>
      </c>
      <c r="F46" s="41">
        <v>1</v>
      </c>
      <c r="G46" s="62" t="s">
        <v>19</v>
      </c>
      <c r="H46" s="34"/>
      <c r="I46" s="60" t="s">
        <v>32</v>
      </c>
      <c r="J46" s="35"/>
    </row>
    <row r="47" spans="1:10" x14ac:dyDescent="0.45">
      <c r="B47" s="38"/>
      <c r="C47" s="134" t="s">
        <v>33</v>
      </c>
      <c r="D47" s="111"/>
      <c r="E47" s="48" t="str">
        <f t="shared" si="3"/>
        <v>0</v>
      </c>
      <c r="F47" s="41">
        <v>1</v>
      </c>
      <c r="G47" s="62" t="s">
        <v>19</v>
      </c>
      <c r="H47" s="34"/>
      <c r="I47" s="60" t="s">
        <v>44</v>
      </c>
      <c r="J47" s="35"/>
    </row>
    <row r="48" spans="1:10" ht="25.9" thickBot="1" x14ac:dyDescent="0.5">
      <c r="B48" s="85"/>
      <c r="C48" s="135" t="s">
        <v>48</v>
      </c>
      <c r="D48" s="113"/>
      <c r="E48" s="97" t="str">
        <f t="shared" si="3"/>
        <v>0</v>
      </c>
      <c r="F48" s="42">
        <v>1</v>
      </c>
      <c r="G48" s="139" t="s">
        <v>19</v>
      </c>
      <c r="H48" s="43"/>
      <c r="I48" s="61" t="s">
        <v>45</v>
      </c>
      <c r="J48" s="44"/>
    </row>
    <row r="49" spans="2:10" x14ac:dyDescent="0.45">
      <c r="E49" s="58"/>
    </row>
    <row r="50" spans="2:10" ht="14.65" thickBot="1" x14ac:dyDescent="0.5">
      <c r="E50" s="58"/>
    </row>
    <row r="51" spans="2:10" ht="14.65" thickBot="1" x14ac:dyDescent="0.5">
      <c r="B51" s="7"/>
      <c r="C51" s="46" t="s">
        <v>49</v>
      </c>
      <c r="D51" s="112"/>
      <c r="E51" s="98" t="str">
        <f xml:space="preserve"> DEC2HEX(D51)</f>
        <v>0</v>
      </c>
      <c r="F51" s="47">
        <v>2</v>
      </c>
      <c r="G51" s="125" t="s">
        <v>19</v>
      </c>
      <c r="H51" s="5"/>
      <c r="I51" s="46" t="s">
        <v>50</v>
      </c>
      <c r="J51" s="8"/>
    </row>
    <row r="52" spans="2:10" ht="14.65" thickBot="1" x14ac:dyDescent="0.5">
      <c r="B52" s="50"/>
      <c r="C52" s="116" t="s">
        <v>51</v>
      </c>
      <c r="D52" s="121">
        <v>0</v>
      </c>
      <c r="E52" s="51" t="str">
        <f xml:space="preserve"> DEC2HEX(D52)</f>
        <v>0</v>
      </c>
      <c r="F52" s="51">
        <v>1</v>
      </c>
      <c r="G52" s="64" t="s">
        <v>19</v>
      </c>
      <c r="H52" s="52"/>
      <c r="I52" s="140" t="s">
        <v>52</v>
      </c>
      <c r="J52" s="53"/>
    </row>
    <row r="54" spans="2:10" ht="14.65" thickBot="1" x14ac:dyDescent="0.5">
      <c r="B54" s="1"/>
      <c r="C54" s="1"/>
      <c r="D54" s="1"/>
      <c r="E54" s="1"/>
      <c r="F54" s="1"/>
      <c r="G54" s="1"/>
      <c r="H54" s="1"/>
      <c r="I54" s="1"/>
      <c r="J54" s="1"/>
    </row>
    <row r="55" spans="2:10" ht="14.65" thickBot="1" x14ac:dyDescent="0.5">
      <c r="B55" s="117"/>
      <c r="C55" s="118" t="s">
        <v>8</v>
      </c>
      <c r="D55" s="122">
        <v>0</v>
      </c>
      <c r="E55" s="10" t="str">
        <f xml:space="preserve"> DEC2HEX(D55)</f>
        <v>0</v>
      </c>
      <c r="F55" s="119"/>
      <c r="G55" s="64" t="s">
        <v>19</v>
      </c>
      <c r="H55" s="6"/>
      <c r="I55" s="120" t="s">
        <v>53</v>
      </c>
      <c r="J55" s="3"/>
    </row>
    <row r="57" spans="2:10" ht="14.65" thickBot="1" x14ac:dyDescent="0.5"/>
    <row r="58" spans="2:10" x14ac:dyDescent="0.45">
      <c r="C58" s="72" t="s">
        <v>61</v>
      </c>
      <c r="D58" s="73"/>
      <c r="E58" s="73"/>
      <c r="F58" s="74">
        <f>SUM(F4:F57)</f>
        <v>48</v>
      </c>
    </row>
    <row r="59" spans="2:10" ht="14.65" thickBot="1" x14ac:dyDescent="0.5">
      <c r="C59" s="68" t="s">
        <v>62</v>
      </c>
      <c r="D59" s="75"/>
      <c r="E59" s="75"/>
      <c r="F59" s="76">
        <f xml:space="preserve"> F58/2</f>
        <v>24</v>
      </c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55" zoomScaleNormal="100" workbookViewId="0">
      <selection activeCell="E78" sqref="C78:E78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283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16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ref="E17:E34" si="1" xml:space="preserve"> DEC2HEX(D17)</f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1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1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1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1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1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1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1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1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1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1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1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1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1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1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1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1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1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285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2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2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2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2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2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2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2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2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2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2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2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2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2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2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2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2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2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2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2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2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2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2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2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2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2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2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2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2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184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75" si="3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3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3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3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3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3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3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3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3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3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ref="E76:E93" si="4" xml:space="preserve"> DEC2HEX(D76)</f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4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17</v>
      </c>
      <c r="E78" s="48" t="str">
        <f t="shared" si="4"/>
        <v>11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4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4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4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4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4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4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4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4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4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4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4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4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4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4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4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55" zoomScaleNormal="100" workbookViewId="0">
      <selection activeCell="E78" sqref="E78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284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286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185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17</v>
      </c>
      <c r="E78" s="48" t="str">
        <f t="shared" si="2"/>
        <v>11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opLeftCell="A52" zoomScaleNormal="100" workbookViewId="0">
      <selection activeCell="E78" sqref="C78:E78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287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289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188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17</v>
      </c>
      <c r="E78" s="48" t="str">
        <f t="shared" si="2"/>
        <v>11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4"/>
  <sheetViews>
    <sheetView tabSelected="1" topLeftCell="A61" zoomScaleNormal="100" workbookViewId="0">
      <selection activeCell="C79" sqref="C79"/>
    </sheetView>
  </sheetViews>
  <sheetFormatPr baseColWidth="10" defaultColWidth="9.1328125" defaultRowHeight="14.25" x14ac:dyDescent="0.45"/>
  <cols>
    <col min="1" max="1" width="13.265625" bestFit="1" customWidth="1"/>
    <col min="2" max="2" width="3.73046875" customWidth="1"/>
    <col min="3" max="3" width="30.73046875" bestFit="1" customWidth="1"/>
    <col min="4" max="5" width="6.59765625" bestFit="1" customWidth="1"/>
    <col min="6" max="6" width="8.1328125" bestFit="1" customWidth="1"/>
    <col min="7" max="7" width="6" bestFit="1" customWidth="1"/>
    <col min="8" max="8" width="3.73046875" customWidth="1"/>
    <col min="9" max="9" width="109" bestFit="1" customWidth="1"/>
    <col min="10" max="10" width="4.3984375" customWidth="1"/>
  </cols>
  <sheetData>
    <row r="1" spans="1:10" ht="28.15" thickBot="1" x14ac:dyDescent="0.5">
      <c r="A1" s="54" t="s">
        <v>55</v>
      </c>
      <c r="B1" s="55"/>
      <c r="C1" s="144" t="s">
        <v>1</v>
      </c>
      <c r="D1" s="54" t="s">
        <v>58</v>
      </c>
      <c r="E1" s="54" t="s">
        <v>59</v>
      </c>
      <c r="F1" s="54" t="s">
        <v>63</v>
      </c>
      <c r="G1" s="55" t="s">
        <v>60</v>
      </c>
      <c r="H1" s="55"/>
      <c r="I1" s="55" t="s">
        <v>54</v>
      </c>
      <c r="J1" s="56"/>
    </row>
    <row r="2" spans="1:10" ht="38.65" thickBot="1" x14ac:dyDescent="0.5">
      <c r="A2" s="2" t="s">
        <v>5</v>
      </c>
      <c r="B2" s="65"/>
      <c r="C2" s="143" t="s">
        <v>9</v>
      </c>
      <c r="D2" s="123">
        <v>56</v>
      </c>
      <c r="E2" s="96"/>
      <c r="F2" s="66" t="s">
        <v>7</v>
      </c>
      <c r="G2" s="125" t="s">
        <v>19</v>
      </c>
      <c r="H2" s="67"/>
      <c r="I2" s="77" t="s">
        <v>56</v>
      </c>
      <c r="J2" s="8"/>
    </row>
    <row r="3" spans="1:10" ht="14.65" thickBot="1" x14ac:dyDescent="0.5">
      <c r="A3" s="2">
        <v>1</v>
      </c>
      <c r="B3" s="69"/>
      <c r="C3" s="70" t="s">
        <v>6</v>
      </c>
      <c r="D3" s="124" t="s">
        <v>0</v>
      </c>
      <c r="E3" s="71"/>
      <c r="F3" s="71"/>
      <c r="G3" s="71"/>
      <c r="H3" s="78"/>
      <c r="I3" s="79" t="s">
        <v>14</v>
      </c>
      <c r="J3" s="80"/>
    </row>
    <row r="4" spans="1:10" ht="27.75" thickBot="1" x14ac:dyDescent="0.5">
      <c r="A4" s="2">
        <v>2</v>
      </c>
      <c r="B4" s="68"/>
      <c r="C4" s="126" t="s">
        <v>10</v>
      </c>
      <c r="D4" s="114">
        <v>1</v>
      </c>
      <c r="E4" s="97" t="str">
        <f xml:space="preserve"> DEC2HEX(D4)</f>
        <v>1</v>
      </c>
      <c r="F4" s="97">
        <v>1</v>
      </c>
      <c r="G4" s="125" t="s">
        <v>19</v>
      </c>
      <c r="H4" s="53"/>
      <c r="I4" s="81" t="s">
        <v>11</v>
      </c>
      <c r="J4" s="49"/>
    </row>
    <row r="5" spans="1:10" ht="27.75" thickBot="1" x14ac:dyDescent="0.5">
      <c r="A5" s="2">
        <v>3</v>
      </c>
      <c r="B5" s="57"/>
      <c r="C5" s="127" t="s">
        <v>13</v>
      </c>
      <c r="D5" s="109">
        <v>2</v>
      </c>
      <c r="E5" s="97" t="str">
        <f xml:space="preserve"> DEC2HEX(D5)</f>
        <v>2</v>
      </c>
      <c r="F5" s="63">
        <v>1</v>
      </c>
      <c r="G5" s="64" t="s">
        <v>19</v>
      </c>
      <c r="H5" s="3"/>
      <c r="I5" s="11" t="s">
        <v>12</v>
      </c>
      <c r="J5" s="3"/>
    </row>
    <row r="6" spans="1:10" ht="30.4" x14ac:dyDescent="0.45">
      <c r="A6" s="2">
        <v>4</v>
      </c>
      <c r="B6" s="89"/>
      <c r="C6" s="101" t="s">
        <v>15</v>
      </c>
      <c r="D6" s="94" t="s">
        <v>16</v>
      </c>
      <c r="E6" s="110">
        <v>288</v>
      </c>
      <c r="F6" s="102">
        <v>2</v>
      </c>
      <c r="G6" s="103" t="s">
        <v>19</v>
      </c>
      <c r="H6" s="90"/>
      <c r="I6" s="99" t="s">
        <v>18</v>
      </c>
      <c r="J6" s="91"/>
    </row>
    <row r="7" spans="1:10" x14ac:dyDescent="0.45">
      <c r="A7" s="2">
        <v>5</v>
      </c>
      <c r="B7" s="12"/>
      <c r="C7" s="15" t="s">
        <v>17</v>
      </c>
      <c r="D7" s="111">
        <v>5</v>
      </c>
      <c r="E7" s="48" t="str">
        <f t="shared" ref="E7:E34" si="0" xml:space="preserve"> DEC2HEX(D7)</f>
        <v>5</v>
      </c>
      <c r="F7" s="18">
        <v>2</v>
      </c>
      <c r="G7" s="19" t="s">
        <v>19</v>
      </c>
      <c r="H7" s="13"/>
      <c r="I7" s="16" t="s">
        <v>20</v>
      </c>
      <c r="J7" s="14"/>
    </row>
    <row r="8" spans="1:10" x14ac:dyDescent="0.45">
      <c r="A8" s="2">
        <v>6</v>
      </c>
      <c r="B8" s="12"/>
      <c r="C8" s="15" t="s">
        <v>22</v>
      </c>
      <c r="D8" s="111">
        <v>8</v>
      </c>
      <c r="E8" s="48" t="str">
        <f t="shared" si="0"/>
        <v>8</v>
      </c>
      <c r="F8" s="18">
        <v>1</v>
      </c>
      <c r="G8" s="19" t="s">
        <v>19</v>
      </c>
      <c r="H8" s="13"/>
      <c r="I8" s="16" t="s">
        <v>21</v>
      </c>
      <c r="J8" s="14"/>
    </row>
    <row r="9" spans="1:10" ht="26.25" x14ac:dyDescent="0.45">
      <c r="A9" s="2">
        <v>7</v>
      </c>
      <c r="B9" s="12"/>
      <c r="C9" s="17" t="s">
        <v>23</v>
      </c>
      <c r="D9" s="111">
        <v>0</v>
      </c>
      <c r="E9" s="48" t="str">
        <f t="shared" si="0"/>
        <v>0</v>
      </c>
      <c r="F9" s="18">
        <v>1</v>
      </c>
      <c r="G9" s="19" t="s">
        <v>19</v>
      </c>
      <c r="H9" s="13"/>
      <c r="I9" s="20" t="s">
        <v>24</v>
      </c>
      <c r="J9" s="14"/>
    </row>
    <row r="10" spans="1:10" ht="14.65" thickBot="1" x14ac:dyDescent="0.5">
      <c r="A10" s="2">
        <v>8</v>
      </c>
      <c r="B10" s="12"/>
      <c r="C10" s="128" t="s">
        <v>25</v>
      </c>
      <c r="D10" s="113">
        <v>4</v>
      </c>
      <c r="E10" s="97" t="str">
        <f t="shared" si="0"/>
        <v>4</v>
      </c>
      <c r="F10" s="129">
        <v>1</v>
      </c>
      <c r="G10" s="130" t="s">
        <v>19</v>
      </c>
      <c r="H10" s="13"/>
      <c r="I10" s="21" t="s">
        <v>26</v>
      </c>
      <c r="J10" s="14"/>
    </row>
    <row r="11" spans="1:10" ht="39.4" x14ac:dyDescent="0.45">
      <c r="A11" s="2">
        <v>9</v>
      </c>
      <c r="B11" s="12"/>
      <c r="C11" s="22" t="s">
        <v>27</v>
      </c>
      <c r="D11" s="112">
        <v>2</v>
      </c>
      <c r="E11" s="66" t="str">
        <f t="shared" si="0"/>
        <v>2</v>
      </c>
      <c r="F11" s="23">
        <v>1</v>
      </c>
      <c r="G11" s="131" t="s">
        <v>19</v>
      </c>
      <c r="H11" s="13"/>
      <c r="I11" s="24" t="s">
        <v>30</v>
      </c>
      <c r="J11" s="14"/>
    </row>
    <row r="12" spans="1:10" x14ac:dyDescent="0.45">
      <c r="A12" s="2">
        <v>10</v>
      </c>
      <c r="B12" s="12"/>
      <c r="C12" s="25" t="s">
        <v>28</v>
      </c>
      <c r="D12" s="115">
        <v>0</v>
      </c>
      <c r="E12" s="48" t="str">
        <f t="shared" si="0"/>
        <v>0</v>
      </c>
      <c r="F12" s="26">
        <v>1</v>
      </c>
      <c r="G12" s="19" t="s">
        <v>19</v>
      </c>
      <c r="H12" s="13"/>
      <c r="I12" s="27" t="s">
        <v>29</v>
      </c>
      <c r="J12" s="14"/>
    </row>
    <row r="13" spans="1:10" x14ac:dyDescent="0.45">
      <c r="A13" s="2">
        <v>11</v>
      </c>
      <c r="B13" s="12"/>
      <c r="C13" s="25" t="s">
        <v>3</v>
      </c>
      <c r="D13" s="111">
        <v>3</v>
      </c>
      <c r="E13" s="48" t="str">
        <f t="shared" si="0"/>
        <v>3</v>
      </c>
      <c r="F13" s="26">
        <v>2</v>
      </c>
      <c r="G13" s="19" t="s">
        <v>19</v>
      </c>
      <c r="H13" s="13"/>
      <c r="I13" s="28" t="s">
        <v>46</v>
      </c>
      <c r="J13" s="14"/>
    </row>
    <row r="14" spans="1:10" x14ac:dyDescent="0.45">
      <c r="A14" s="2">
        <v>12</v>
      </c>
      <c r="B14" s="12"/>
      <c r="C14" s="25" t="s">
        <v>31</v>
      </c>
      <c r="D14" s="111">
        <v>16</v>
      </c>
      <c r="E14" s="48" t="str">
        <f t="shared" si="0"/>
        <v>10</v>
      </c>
      <c r="F14" s="26">
        <v>1</v>
      </c>
      <c r="G14" s="19" t="s">
        <v>19</v>
      </c>
      <c r="H14" s="13"/>
      <c r="I14" s="27" t="s">
        <v>32</v>
      </c>
      <c r="J14" s="14"/>
    </row>
    <row r="15" spans="1:10" x14ac:dyDescent="0.45">
      <c r="A15" s="2">
        <v>13</v>
      </c>
      <c r="B15" s="12"/>
      <c r="C15" s="25" t="s">
        <v>33</v>
      </c>
      <c r="D15" s="111">
        <v>0</v>
      </c>
      <c r="E15" s="48" t="str">
        <f t="shared" si="0"/>
        <v>0</v>
      </c>
      <c r="F15" s="26">
        <v>1</v>
      </c>
      <c r="G15" s="19" t="s">
        <v>19</v>
      </c>
      <c r="H15" s="13"/>
      <c r="I15" s="28" t="s">
        <v>44</v>
      </c>
      <c r="J15" s="14"/>
    </row>
    <row r="16" spans="1:10" ht="39.4" thickBot="1" x14ac:dyDescent="0.5">
      <c r="A16" s="2">
        <v>14</v>
      </c>
      <c r="B16" s="92"/>
      <c r="C16" s="29" t="s">
        <v>34</v>
      </c>
      <c r="D16" s="113">
        <v>0</v>
      </c>
      <c r="E16" s="97" t="str">
        <f t="shared" si="0"/>
        <v>0</v>
      </c>
      <c r="F16" s="30">
        <v>1</v>
      </c>
      <c r="G16" s="132" t="s">
        <v>19</v>
      </c>
      <c r="H16" s="32"/>
      <c r="I16" s="31" t="s">
        <v>35</v>
      </c>
      <c r="J16" s="93"/>
    </row>
    <row r="17" spans="1:10" ht="39.4" x14ac:dyDescent="0.45">
      <c r="A17" s="2">
        <v>15</v>
      </c>
      <c r="B17" s="89"/>
      <c r="C17" s="22" t="s">
        <v>27</v>
      </c>
      <c r="D17" s="112">
        <v>2</v>
      </c>
      <c r="E17" s="66" t="str">
        <f t="shared" si="0"/>
        <v>2</v>
      </c>
      <c r="F17" s="23">
        <v>1</v>
      </c>
      <c r="G17" s="131" t="s">
        <v>19</v>
      </c>
      <c r="H17" s="90"/>
      <c r="I17" s="24" t="s">
        <v>36</v>
      </c>
      <c r="J17" s="91"/>
    </row>
    <row r="18" spans="1:10" x14ac:dyDescent="0.45">
      <c r="A18" s="2">
        <v>16</v>
      </c>
      <c r="B18" s="12"/>
      <c r="C18" s="25" t="s">
        <v>28</v>
      </c>
      <c r="D18" s="115">
        <v>0</v>
      </c>
      <c r="E18" s="48" t="str">
        <f t="shared" si="0"/>
        <v>0</v>
      </c>
      <c r="F18" s="26">
        <v>1</v>
      </c>
      <c r="G18" s="19" t="s">
        <v>19</v>
      </c>
      <c r="H18" s="13"/>
      <c r="I18" s="27" t="s">
        <v>29</v>
      </c>
      <c r="J18" s="14"/>
    </row>
    <row r="19" spans="1:10" x14ac:dyDescent="0.45">
      <c r="A19" s="2">
        <v>17</v>
      </c>
      <c r="B19" s="12"/>
      <c r="C19" s="25" t="s">
        <v>3</v>
      </c>
      <c r="D19" s="111">
        <v>5</v>
      </c>
      <c r="E19" s="48" t="str">
        <f t="shared" si="0"/>
        <v>5</v>
      </c>
      <c r="F19" s="26">
        <v>2</v>
      </c>
      <c r="G19" s="19" t="s">
        <v>19</v>
      </c>
      <c r="H19" s="13"/>
      <c r="I19" s="28" t="s">
        <v>46</v>
      </c>
      <c r="J19" s="14"/>
    </row>
    <row r="20" spans="1:10" x14ac:dyDescent="0.45">
      <c r="A20" s="2">
        <v>18</v>
      </c>
      <c r="B20" s="12"/>
      <c r="C20" s="25" t="s">
        <v>31</v>
      </c>
      <c r="D20" s="111">
        <v>16</v>
      </c>
      <c r="E20" s="48" t="str">
        <f t="shared" si="0"/>
        <v>10</v>
      </c>
      <c r="F20" s="26">
        <v>1</v>
      </c>
      <c r="G20" s="19" t="s">
        <v>19</v>
      </c>
      <c r="H20" s="13"/>
      <c r="I20" s="27" t="s">
        <v>32</v>
      </c>
      <c r="J20" s="14"/>
    </row>
    <row r="21" spans="1:10" x14ac:dyDescent="0.45">
      <c r="A21" s="2">
        <v>19</v>
      </c>
      <c r="B21" s="12"/>
      <c r="C21" s="25" t="s">
        <v>33</v>
      </c>
      <c r="D21" s="111">
        <v>16</v>
      </c>
      <c r="E21" s="48" t="str">
        <f t="shared" si="0"/>
        <v>10</v>
      </c>
      <c r="F21" s="26">
        <v>1</v>
      </c>
      <c r="G21" s="19" t="s">
        <v>19</v>
      </c>
      <c r="H21" s="13"/>
      <c r="I21" s="28" t="s">
        <v>44</v>
      </c>
      <c r="J21" s="14"/>
    </row>
    <row r="22" spans="1:10" ht="39.4" thickBot="1" x14ac:dyDescent="0.5">
      <c r="A22" s="2">
        <v>20</v>
      </c>
      <c r="B22" s="92"/>
      <c r="C22" s="29" t="s">
        <v>34</v>
      </c>
      <c r="D22" s="113">
        <v>2</v>
      </c>
      <c r="E22" s="97" t="str">
        <f t="shared" si="0"/>
        <v>2</v>
      </c>
      <c r="F22" s="30">
        <v>1</v>
      </c>
      <c r="G22" s="132" t="s">
        <v>19</v>
      </c>
      <c r="H22" s="32"/>
      <c r="I22" s="31" t="s">
        <v>35</v>
      </c>
      <c r="J22" s="93"/>
    </row>
    <row r="23" spans="1:10" ht="39.4" x14ac:dyDescent="0.45">
      <c r="A23" s="2">
        <v>21</v>
      </c>
      <c r="B23" s="89"/>
      <c r="C23" s="22" t="s">
        <v>27</v>
      </c>
      <c r="D23" s="112">
        <v>2</v>
      </c>
      <c r="E23" s="66" t="str">
        <f t="shared" si="0"/>
        <v>2</v>
      </c>
      <c r="F23" s="23">
        <v>1</v>
      </c>
      <c r="G23" s="131" t="s">
        <v>19</v>
      </c>
      <c r="H23" s="90"/>
      <c r="I23" s="24" t="s">
        <v>64</v>
      </c>
      <c r="J23" s="91"/>
    </row>
    <row r="24" spans="1:10" x14ac:dyDescent="0.45">
      <c r="A24" s="2">
        <v>22</v>
      </c>
      <c r="B24" s="12"/>
      <c r="C24" s="25" t="s">
        <v>28</v>
      </c>
      <c r="D24" s="115">
        <v>0</v>
      </c>
      <c r="E24" s="48" t="str">
        <f t="shared" si="0"/>
        <v>0</v>
      </c>
      <c r="F24" s="26">
        <v>1</v>
      </c>
      <c r="G24" s="19" t="s">
        <v>19</v>
      </c>
      <c r="H24" s="13"/>
      <c r="I24" s="27" t="s">
        <v>29</v>
      </c>
      <c r="J24" s="14"/>
    </row>
    <row r="25" spans="1:10" x14ac:dyDescent="0.45">
      <c r="A25" s="2">
        <v>23</v>
      </c>
      <c r="B25" s="12"/>
      <c r="C25" s="25" t="s">
        <v>3</v>
      </c>
      <c r="D25" s="111">
        <v>25</v>
      </c>
      <c r="E25" s="48" t="str">
        <f t="shared" si="0"/>
        <v>19</v>
      </c>
      <c r="F25" s="26">
        <v>2</v>
      </c>
      <c r="G25" s="19" t="s">
        <v>19</v>
      </c>
      <c r="H25" s="13"/>
      <c r="I25" s="28" t="s">
        <v>46</v>
      </c>
      <c r="J25" s="14"/>
    </row>
    <row r="26" spans="1:10" x14ac:dyDescent="0.45">
      <c r="A26" s="2">
        <v>24</v>
      </c>
      <c r="B26" s="12"/>
      <c r="C26" s="25" t="s">
        <v>31</v>
      </c>
      <c r="D26" s="111">
        <v>16</v>
      </c>
      <c r="E26" s="48" t="str">
        <f t="shared" si="0"/>
        <v>10</v>
      </c>
      <c r="F26" s="26">
        <v>1</v>
      </c>
      <c r="G26" s="19" t="s">
        <v>19</v>
      </c>
      <c r="H26" s="13"/>
      <c r="I26" s="27" t="s">
        <v>32</v>
      </c>
      <c r="J26" s="14"/>
    </row>
    <row r="27" spans="1:10" x14ac:dyDescent="0.45">
      <c r="A27" s="2">
        <v>25</v>
      </c>
      <c r="B27" s="12"/>
      <c r="C27" s="25" t="s">
        <v>33</v>
      </c>
      <c r="D27" s="111">
        <v>32</v>
      </c>
      <c r="E27" s="48" t="str">
        <f t="shared" si="0"/>
        <v>20</v>
      </c>
      <c r="F27" s="26">
        <v>1</v>
      </c>
      <c r="G27" s="19" t="s">
        <v>19</v>
      </c>
      <c r="H27" s="13"/>
      <c r="I27" s="28" t="s">
        <v>44</v>
      </c>
      <c r="J27" s="14"/>
    </row>
    <row r="28" spans="1:10" ht="39.4" thickBot="1" x14ac:dyDescent="0.5">
      <c r="A28" s="2">
        <v>26</v>
      </c>
      <c r="B28" s="92"/>
      <c r="C28" s="29" t="s">
        <v>34</v>
      </c>
      <c r="D28" s="113">
        <v>2</v>
      </c>
      <c r="E28" s="97" t="str">
        <f t="shared" si="0"/>
        <v>2</v>
      </c>
      <c r="F28" s="30">
        <v>1</v>
      </c>
      <c r="G28" s="132" t="s">
        <v>19</v>
      </c>
      <c r="H28" s="32"/>
      <c r="I28" s="31" t="s">
        <v>35</v>
      </c>
      <c r="J28" s="93"/>
    </row>
    <row r="29" spans="1:10" ht="39.4" x14ac:dyDescent="0.45">
      <c r="A29" s="2">
        <v>27</v>
      </c>
      <c r="B29" s="89"/>
      <c r="C29" s="22" t="s">
        <v>27</v>
      </c>
      <c r="D29" s="112">
        <v>2</v>
      </c>
      <c r="E29" s="66" t="str">
        <f t="shared" si="0"/>
        <v>2</v>
      </c>
      <c r="F29" s="23">
        <v>1</v>
      </c>
      <c r="G29" s="131" t="s">
        <v>19</v>
      </c>
      <c r="H29" s="90"/>
      <c r="I29" s="24" t="s">
        <v>65</v>
      </c>
      <c r="J29" s="91"/>
    </row>
    <row r="30" spans="1:10" x14ac:dyDescent="0.45">
      <c r="A30" s="2">
        <v>28</v>
      </c>
      <c r="B30" s="12"/>
      <c r="C30" s="25" t="s">
        <v>28</v>
      </c>
      <c r="D30" s="115">
        <v>0</v>
      </c>
      <c r="E30" s="48" t="str">
        <f t="shared" si="0"/>
        <v>0</v>
      </c>
      <c r="F30" s="26">
        <v>1</v>
      </c>
      <c r="G30" s="19" t="s">
        <v>19</v>
      </c>
      <c r="H30" s="13"/>
      <c r="I30" s="27" t="s">
        <v>29</v>
      </c>
      <c r="J30" s="14"/>
    </row>
    <row r="31" spans="1:10" x14ac:dyDescent="0.45">
      <c r="A31" s="2">
        <v>29</v>
      </c>
      <c r="B31" s="12"/>
      <c r="C31" s="25" t="s">
        <v>3</v>
      </c>
      <c r="D31" s="111">
        <v>26</v>
      </c>
      <c r="E31" s="48" t="str">
        <f t="shared" si="0"/>
        <v>1A</v>
      </c>
      <c r="F31" s="26">
        <v>2</v>
      </c>
      <c r="G31" s="19" t="s">
        <v>19</v>
      </c>
      <c r="H31" s="13"/>
      <c r="I31" s="28" t="s">
        <v>46</v>
      </c>
      <c r="J31" s="14"/>
    </row>
    <row r="32" spans="1:10" x14ac:dyDescent="0.45">
      <c r="A32" s="2">
        <v>30</v>
      </c>
      <c r="B32" s="12"/>
      <c r="C32" s="25" t="s">
        <v>31</v>
      </c>
      <c r="D32" s="111">
        <v>16</v>
      </c>
      <c r="E32" s="48" t="str">
        <f t="shared" si="0"/>
        <v>10</v>
      </c>
      <c r="F32" s="26">
        <v>1</v>
      </c>
      <c r="G32" s="19" t="s">
        <v>19</v>
      </c>
      <c r="H32" s="13"/>
      <c r="I32" s="27" t="s">
        <v>32</v>
      </c>
      <c r="J32" s="14"/>
    </row>
    <row r="33" spans="1:10" x14ac:dyDescent="0.45">
      <c r="A33" s="2">
        <v>31</v>
      </c>
      <c r="B33" s="12"/>
      <c r="C33" s="25" t="s">
        <v>33</v>
      </c>
      <c r="D33" s="111">
        <v>48</v>
      </c>
      <c r="E33" s="48" t="str">
        <f t="shared" si="0"/>
        <v>30</v>
      </c>
      <c r="F33" s="26">
        <v>1</v>
      </c>
      <c r="G33" s="19" t="s">
        <v>19</v>
      </c>
      <c r="H33" s="13"/>
      <c r="I33" s="28" t="s">
        <v>44</v>
      </c>
      <c r="J33" s="14"/>
    </row>
    <row r="34" spans="1:10" ht="39.4" thickBot="1" x14ac:dyDescent="0.5">
      <c r="A34" s="2">
        <v>32</v>
      </c>
      <c r="B34" s="92"/>
      <c r="C34" s="29" t="s">
        <v>34</v>
      </c>
      <c r="D34" s="113">
        <v>2</v>
      </c>
      <c r="E34" s="97" t="str">
        <f t="shared" si="0"/>
        <v>2</v>
      </c>
      <c r="F34" s="30">
        <v>1</v>
      </c>
      <c r="G34" s="132" t="s">
        <v>19</v>
      </c>
      <c r="H34" s="32"/>
      <c r="I34" s="31" t="s">
        <v>35</v>
      </c>
      <c r="J34" s="93"/>
    </row>
    <row r="35" spans="1:10" ht="30.4" x14ac:dyDescent="0.45">
      <c r="A35" s="2">
        <v>33</v>
      </c>
      <c r="B35" s="89"/>
      <c r="C35" s="101" t="s">
        <v>15</v>
      </c>
      <c r="D35" s="94" t="s">
        <v>16</v>
      </c>
      <c r="E35" s="110">
        <v>290</v>
      </c>
      <c r="F35" s="102">
        <v>2</v>
      </c>
      <c r="G35" s="103" t="s">
        <v>19</v>
      </c>
      <c r="H35" s="90"/>
      <c r="I35" s="99" t="s">
        <v>18</v>
      </c>
      <c r="J35" s="91"/>
    </row>
    <row r="36" spans="1:10" x14ac:dyDescent="0.45">
      <c r="A36" s="2">
        <v>34</v>
      </c>
      <c r="B36" s="12"/>
      <c r="C36" s="15" t="s">
        <v>17</v>
      </c>
      <c r="D36" s="111">
        <v>5</v>
      </c>
      <c r="E36" s="48" t="str">
        <f t="shared" ref="E36:E63" si="1" xml:space="preserve"> DEC2HEX(D36)</f>
        <v>5</v>
      </c>
      <c r="F36" s="18">
        <v>2</v>
      </c>
      <c r="G36" s="19" t="s">
        <v>19</v>
      </c>
      <c r="H36" s="13"/>
      <c r="I36" s="16" t="s">
        <v>20</v>
      </c>
      <c r="J36" s="14"/>
    </row>
    <row r="37" spans="1:10" x14ac:dyDescent="0.45">
      <c r="A37" s="2">
        <v>35</v>
      </c>
      <c r="B37" s="12"/>
      <c r="C37" s="15" t="s">
        <v>22</v>
      </c>
      <c r="D37" s="111">
        <v>8</v>
      </c>
      <c r="E37" s="48" t="str">
        <f t="shared" si="1"/>
        <v>8</v>
      </c>
      <c r="F37" s="18">
        <v>1</v>
      </c>
      <c r="G37" s="19" t="s">
        <v>19</v>
      </c>
      <c r="H37" s="13"/>
      <c r="I37" s="16" t="s">
        <v>21</v>
      </c>
      <c r="J37" s="14"/>
    </row>
    <row r="38" spans="1:10" ht="26.25" x14ac:dyDescent="0.45">
      <c r="A38" s="2">
        <v>36</v>
      </c>
      <c r="B38" s="12"/>
      <c r="C38" s="17" t="s">
        <v>23</v>
      </c>
      <c r="D38" s="111">
        <v>0</v>
      </c>
      <c r="E38" s="48" t="str">
        <f t="shared" si="1"/>
        <v>0</v>
      </c>
      <c r="F38" s="18">
        <v>1</v>
      </c>
      <c r="G38" s="19" t="s">
        <v>19</v>
      </c>
      <c r="H38" s="13"/>
      <c r="I38" s="20" t="s">
        <v>24</v>
      </c>
      <c r="J38" s="14"/>
    </row>
    <row r="39" spans="1:10" ht="14.65" thickBot="1" x14ac:dyDescent="0.5">
      <c r="A39" s="2">
        <v>37</v>
      </c>
      <c r="B39" s="12"/>
      <c r="C39" s="128" t="s">
        <v>25</v>
      </c>
      <c r="D39" s="113">
        <v>4</v>
      </c>
      <c r="E39" s="97" t="str">
        <f t="shared" si="1"/>
        <v>4</v>
      </c>
      <c r="F39" s="129">
        <v>1</v>
      </c>
      <c r="G39" s="130" t="s">
        <v>19</v>
      </c>
      <c r="H39" s="13"/>
      <c r="I39" s="21" t="s">
        <v>26</v>
      </c>
      <c r="J39" s="14"/>
    </row>
    <row r="40" spans="1:10" ht="39.4" x14ac:dyDescent="0.45">
      <c r="A40" s="2">
        <v>38</v>
      </c>
      <c r="B40" s="12"/>
      <c r="C40" s="22" t="s">
        <v>27</v>
      </c>
      <c r="D40" s="112">
        <v>2</v>
      </c>
      <c r="E40" s="66" t="str">
        <f t="shared" si="1"/>
        <v>2</v>
      </c>
      <c r="F40" s="23">
        <v>1</v>
      </c>
      <c r="G40" s="131" t="s">
        <v>19</v>
      </c>
      <c r="H40" s="13"/>
      <c r="I40" s="24" t="s">
        <v>30</v>
      </c>
      <c r="J40" s="14"/>
    </row>
    <row r="41" spans="1:10" x14ac:dyDescent="0.45">
      <c r="A41" s="2">
        <v>39</v>
      </c>
      <c r="B41" s="12"/>
      <c r="C41" s="25" t="s">
        <v>28</v>
      </c>
      <c r="D41" s="115">
        <v>0</v>
      </c>
      <c r="E41" s="48" t="str">
        <f t="shared" si="1"/>
        <v>0</v>
      </c>
      <c r="F41" s="26">
        <v>1</v>
      </c>
      <c r="G41" s="19" t="s">
        <v>19</v>
      </c>
      <c r="H41" s="13"/>
      <c r="I41" s="27" t="s">
        <v>29</v>
      </c>
      <c r="J41" s="14"/>
    </row>
    <row r="42" spans="1:10" x14ac:dyDescent="0.45">
      <c r="A42" s="2">
        <v>40</v>
      </c>
      <c r="B42" s="12"/>
      <c r="C42" s="25" t="s">
        <v>3</v>
      </c>
      <c r="D42" s="111">
        <v>7</v>
      </c>
      <c r="E42" s="48" t="str">
        <f t="shared" si="1"/>
        <v>7</v>
      </c>
      <c r="F42" s="26">
        <v>2</v>
      </c>
      <c r="G42" s="19" t="s">
        <v>19</v>
      </c>
      <c r="H42" s="13"/>
      <c r="I42" s="28" t="s">
        <v>46</v>
      </c>
      <c r="J42" s="14"/>
    </row>
    <row r="43" spans="1:10" x14ac:dyDescent="0.45">
      <c r="A43" s="2">
        <v>41</v>
      </c>
      <c r="B43" s="12"/>
      <c r="C43" s="25" t="s">
        <v>31</v>
      </c>
      <c r="D43" s="111">
        <v>16</v>
      </c>
      <c r="E43" s="48" t="str">
        <f t="shared" si="1"/>
        <v>10</v>
      </c>
      <c r="F43" s="26">
        <v>1</v>
      </c>
      <c r="G43" s="19" t="s">
        <v>19</v>
      </c>
      <c r="H43" s="13"/>
      <c r="I43" s="27" t="s">
        <v>32</v>
      </c>
      <c r="J43" s="14"/>
    </row>
    <row r="44" spans="1:10" x14ac:dyDescent="0.45">
      <c r="A44" s="2">
        <v>42</v>
      </c>
      <c r="B44" s="12"/>
      <c r="C44" s="25" t="s">
        <v>33</v>
      </c>
      <c r="D44" s="111">
        <v>0</v>
      </c>
      <c r="E44" s="48" t="str">
        <f t="shared" si="1"/>
        <v>0</v>
      </c>
      <c r="F44" s="26">
        <v>1</v>
      </c>
      <c r="G44" s="19" t="s">
        <v>19</v>
      </c>
      <c r="H44" s="13"/>
      <c r="I44" s="28" t="s">
        <v>44</v>
      </c>
      <c r="J44" s="14"/>
    </row>
    <row r="45" spans="1:10" ht="39.4" thickBot="1" x14ac:dyDescent="0.5">
      <c r="A45" s="2">
        <v>43</v>
      </c>
      <c r="B45" s="92"/>
      <c r="C45" s="29" t="s">
        <v>34</v>
      </c>
      <c r="D45" s="113">
        <v>2</v>
      </c>
      <c r="E45" s="97" t="str">
        <f t="shared" si="1"/>
        <v>2</v>
      </c>
      <c r="F45" s="30">
        <v>1</v>
      </c>
      <c r="G45" s="132" t="s">
        <v>19</v>
      </c>
      <c r="H45" s="32"/>
      <c r="I45" s="31" t="s">
        <v>35</v>
      </c>
      <c r="J45" s="93"/>
    </row>
    <row r="46" spans="1:10" ht="39.4" x14ac:dyDescent="0.45">
      <c r="A46" s="2">
        <v>44</v>
      </c>
      <c r="B46" s="89"/>
      <c r="C46" s="22" t="s">
        <v>27</v>
      </c>
      <c r="D46" s="112">
        <v>2</v>
      </c>
      <c r="E46" s="66" t="str">
        <f t="shared" si="1"/>
        <v>2</v>
      </c>
      <c r="F46" s="23">
        <v>1</v>
      </c>
      <c r="G46" s="131" t="s">
        <v>19</v>
      </c>
      <c r="H46" s="90"/>
      <c r="I46" s="24" t="s">
        <v>36</v>
      </c>
      <c r="J46" s="91"/>
    </row>
    <row r="47" spans="1:10" x14ac:dyDescent="0.45">
      <c r="A47" s="2">
        <v>45</v>
      </c>
      <c r="B47" s="12"/>
      <c r="C47" s="25" t="s">
        <v>28</v>
      </c>
      <c r="D47" s="115">
        <v>0</v>
      </c>
      <c r="E47" s="48" t="str">
        <f t="shared" si="1"/>
        <v>0</v>
      </c>
      <c r="F47" s="26">
        <v>1</v>
      </c>
      <c r="G47" s="19" t="s">
        <v>19</v>
      </c>
      <c r="H47" s="13"/>
      <c r="I47" s="27" t="s">
        <v>29</v>
      </c>
      <c r="J47" s="14"/>
    </row>
    <row r="48" spans="1:10" x14ac:dyDescent="0.45">
      <c r="A48" s="2">
        <v>46</v>
      </c>
      <c r="B48" s="12"/>
      <c r="C48" s="25" t="s">
        <v>3</v>
      </c>
      <c r="D48" s="111">
        <v>8</v>
      </c>
      <c r="E48" s="48" t="str">
        <f t="shared" si="1"/>
        <v>8</v>
      </c>
      <c r="F48" s="26">
        <v>2</v>
      </c>
      <c r="G48" s="19" t="s">
        <v>19</v>
      </c>
      <c r="H48" s="13"/>
      <c r="I48" s="28" t="s">
        <v>46</v>
      </c>
      <c r="J48" s="14"/>
    </row>
    <row r="49" spans="1:10" x14ac:dyDescent="0.45">
      <c r="A49" s="2">
        <v>47</v>
      </c>
      <c r="B49" s="12"/>
      <c r="C49" s="25" t="s">
        <v>31</v>
      </c>
      <c r="D49" s="111">
        <v>16</v>
      </c>
      <c r="E49" s="48" t="str">
        <f t="shared" si="1"/>
        <v>10</v>
      </c>
      <c r="F49" s="26">
        <v>1</v>
      </c>
      <c r="G49" s="19" t="s">
        <v>19</v>
      </c>
      <c r="H49" s="13"/>
      <c r="I49" s="27" t="s">
        <v>32</v>
      </c>
      <c r="J49" s="14"/>
    </row>
    <row r="50" spans="1:10" x14ac:dyDescent="0.45">
      <c r="A50" s="2">
        <v>48</v>
      </c>
      <c r="B50" s="12"/>
      <c r="C50" s="25" t="s">
        <v>33</v>
      </c>
      <c r="D50" s="111">
        <v>16</v>
      </c>
      <c r="E50" s="48" t="str">
        <f t="shared" si="1"/>
        <v>10</v>
      </c>
      <c r="F50" s="26">
        <v>1</v>
      </c>
      <c r="G50" s="19" t="s">
        <v>19</v>
      </c>
      <c r="H50" s="13"/>
      <c r="I50" s="28" t="s">
        <v>44</v>
      </c>
      <c r="J50" s="14"/>
    </row>
    <row r="51" spans="1:10" ht="39.4" thickBot="1" x14ac:dyDescent="0.5">
      <c r="A51" s="2">
        <v>49</v>
      </c>
      <c r="B51" s="92"/>
      <c r="C51" s="29" t="s">
        <v>34</v>
      </c>
      <c r="D51" s="113">
        <v>2</v>
      </c>
      <c r="E51" s="97" t="str">
        <f t="shared" si="1"/>
        <v>2</v>
      </c>
      <c r="F51" s="30">
        <v>1</v>
      </c>
      <c r="G51" s="132" t="s">
        <v>19</v>
      </c>
      <c r="H51" s="32"/>
      <c r="I51" s="31" t="s">
        <v>35</v>
      </c>
      <c r="J51" s="93"/>
    </row>
    <row r="52" spans="1:10" ht="39.4" x14ac:dyDescent="0.45">
      <c r="A52" s="2">
        <v>50</v>
      </c>
      <c r="B52" s="89"/>
      <c r="C52" s="22" t="s">
        <v>27</v>
      </c>
      <c r="D52" s="112">
        <v>2</v>
      </c>
      <c r="E52" s="66" t="str">
        <f t="shared" si="1"/>
        <v>2</v>
      </c>
      <c r="F52" s="23">
        <v>1</v>
      </c>
      <c r="G52" s="131" t="s">
        <v>19</v>
      </c>
      <c r="H52" s="90"/>
      <c r="I52" s="24" t="s">
        <v>64</v>
      </c>
      <c r="J52" s="91"/>
    </row>
    <row r="53" spans="1:10" x14ac:dyDescent="0.45">
      <c r="A53" s="2">
        <v>51</v>
      </c>
      <c r="B53" s="12"/>
      <c r="C53" s="25" t="s">
        <v>28</v>
      </c>
      <c r="D53" s="115">
        <v>0</v>
      </c>
      <c r="E53" s="48" t="str">
        <f t="shared" si="1"/>
        <v>0</v>
      </c>
      <c r="F53" s="26">
        <v>1</v>
      </c>
      <c r="G53" s="19" t="s">
        <v>19</v>
      </c>
      <c r="H53" s="13"/>
      <c r="I53" s="27" t="s">
        <v>29</v>
      </c>
      <c r="J53" s="14"/>
    </row>
    <row r="54" spans="1:10" x14ac:dyDescent="0.45">
      <c r="A54" s="2">
        <v>52</v>
      </c>
      <c r="B54" s="12"/>
      <c r="C54" s="25" t="s">
        <v>3</v>
      </c>
      <c r="D54" s="111">
        <v>21</v>
      </c>
      <c r="E54" s="48" t="str">
        <f t="shared" si="1"/>
        <v>15</v>
      </c>
      <c r="F54" s="26">
        <v>2</v>
      </c>
      <c r="G54" s="19" t="s">
        <v>19</v>
      </c>
      <c r="H54" s="13"/>
      <c r="I54" s="28" t="s">
        <v>46</v>
      </c>
      <c r="J54" s="14"/>
    </row>
    <row r="55" spans="1:10" x14ac:dyDescent="0.45">
      <c r="A55" s="2">
        <v>53</v>
      </c>
      <c r="B55" s="12"/>
      <c r="C55" s="25" t="s">
        <v>31</v>
      </c>
      <c r="D55" s="111">
        <v>16</v>
      </c>
      <c r="E55" s="48" t="str">
        <f t="shared" si="1"/>
        <v>10</v>
      </c>
      <c r="F55" s="26">
        <v>1</v>
      </c>
      <c r="G55" s="19" t="s">
        <v>19</v>
      </c>
      <c r="H55" s="13"/>
      <c r="I55" s="27" t="s">
        <v>32</v>
      </c>
      <c r="J55" s="14"/>
    </row>
    <row r="56" spans="1:10" x14ac:dyDescent="0.45">
      <c r="A56" s="2">
        <v>54</v>
      </c>
      <c r="B56" s="12"/>
      <c r="C56" s="25" t="s">
        <v>33</v>
      </c>
      <c r="D56" s="111">
        <v>32</v>
      </c>
      <c r="E56" s="48" t="str">
        <f t="shared" si="1"/>
        <v>20</v>
      </c>
      <c r="F56" s="26">
        <v>1</v>
      </c>
      <c r="G56" s="19" t="s">
        <v>19</v>
      </c>
      <c r="H56" s="13"/>
      <c r="I56" s="28" t="s">
        <v>44</v>
      </c>
      <c r="J56" s="14"/>
    </row>
    <row r="57" spans="1:10" ht="39.4" thickBot="1" x14ac:dyDescent="0.5">
      <c r="A57" s="2">
        <v>55</v>
      </c>
      <c r="B57" s="92"/>
      <c r="C57" s="29" t="s">
        <v>34</v>
      </c>
      <c r="D57" s="113">
        <v>2</v>
      </c>
      <c r="E57" s="97" t="str">
        <f t="shared" si="1"/>
        <v>2</v>
      </c>
      <c r="F57" s="30">
        <v>1</v>
      </c>
      <c r="G57" s="132" t="s">
        <v>19</v>
      </c>
      <c r="H57" s="32"/>
      <c r="I57" s="31" t="s">
        <v>35</v>
      </c>
      <c r="J57" s="93"/>
    </row>
    <row r="58" spans="1:10" ht="39.4" x14ac:dyDescent="0.45">
      <c r="A58" s="2">
        <v>56</v>
      </c>
      <c r="B58" s="89"/>
      <c r="C58" s="22" t="s">
        <v>27</v>
      </c>
      <c r="D58" s="112">
        <v>2</v>
      </c>
      <c r="E58" s="66" t="str">
        <f t="shared" si="1"/>
        <v>2</v>
      </c>
      <c r="F58" s="23">
        <v>1</v>
      </c>
      <c r="G58" s="131" t="s">
        <v>19</v>
      </c>
      <c r="H58" s="90"/>
      <c r="I58" s="24" t="s">
        <v>65</v>
      </c>
      <c r="J58" s="91"/>
    </row>
    <row r="59" spans="1:10" x14ac:dyDescent="0.45">
      <c r="A59" s="2">
        <v>57</v>
      </c>
      <c r="B59" s="12"/>
      <c r="C59" s="25" t="s">
        <v>28</v>
      </c>
      <c r="D59" s="115">
        <v>0</v>
      </c>
      <c r="E59" s="48" t="str">
        <f t="shared" si="1"/>
        <v>0</v>
      </c>
      <c r="F59" s="26">
        <v>1</v>
      </c>
      <c r="G59" s="19" t="s">
        <v>19</v>
      </c>
      <c r="H59" s="13"/>
      <c r="I59" s="27" t="s">
        <v>29</v>
      </c>
      <c r="J59" s="14"/>
    </row>
    <row r="60" spans="1:10" x14ac:dyDescent="0.45">
      <c r="A60" s="2">
        <v>58</v>
      </c>
      <c r="B60" s="12"/>
      <c r="C60" s="25" t="s">
        <v>3</v>
      </c>
      <c r="D60" s="111">
        <v>27</v>
      </c>
      <c r="E60" s="48" t="str">
        <f t="shared" si="1"/>
        <v>1B</v>
      </c>
      <c r="F60" s="26">
        <v>2</v>
      </c>
      <c r="G60" s="19" t="s">
        <v>19</v>
      </c>
      <c r="H60" s="13"/>
      <c r="I60" s="28" t="s">
        <v>46</v>
      </c>
      <c r="J60" s="14"/>
    </row>
    <row r="61" spans="1:10" x14ac:dyDescent="0.45">
      <c r="A61" s="2">
        <v>59</v>
      </c>
      <c r="B61" s="12"/>
      <c r="C61" s="25" t="s">
        <v>31</v>
      </c>
      <c r="D61" s="111">
        <v>16</v>
      </c>
      <c r="E61" s="48" t="str">
        <f t="shared" si="1"/>
        <v>10</v>
      </c>
      <c r="F61" s="26">
        <v>1</v>
      </c>
      <c r="G61" s="19" t="s">
        <v>19</v>
      </c>
      <c r="H61" s="13"/>
      <c r="I61" s="27" t="s">
        <v>32</v>
      </c>
      <c r="J61" s="14"/>
    </row>
    <row r="62" spans="1:10" x14ac:dyDescent="0.45">
      <c r="A62" s="2">
        <v>60</v>
      </c>
      <c r="B62" s="12"/>
      <c r="C62" s="25" t="s">
        <v>33</v>
      </c>
      <c r="D62" s="111">
        <v>48</v>
      </c>
      <c r="E62" s="48" t="str">
        <f t="shared" si="1"/>
        <v>30</v>
      </c>
      <c r="F62" s="26">
        <v>1</v>
      </c>
      <c r="G62" s="19" t="s">
        <v>19</v>
      </c>
      <c r="H62" s="13"/>
      <c r="I62" s="28" t="s">
        <v>44</v>
      </c>
      <c r="J62" s="14"/>
    </row>
    <row r="63" spans="1:10" ht="39.4" thickBot="1" x14ac:dyDescent="0.5">
      <c r="A63" s="2">
        <v>61</v>
      </c>
      <c r="B63" s="92"/>
      <c r="C63" s="29" t="s">
        <v>34</v>
      </c>
      <c r="D63" s="113">
        <v>2</v>
      </c>
      <c r="E63" s="97" t="str">
        <f t="shared" si="1"/>
        <v>2</v>
      </c>
      <c r="F63" s="30">
        <v>1</v>
      </c>
      <c r="G63" s="132" t="s">
        <v>19</v>
      </c>
      <c r="H63" s="32"/>
      <c r="I63" s="31" t="s">
        <v>35</v>
      </c>
      <c r="J63" s="93"/>
    </row>
    <row r="64" spans="1:10" ht="27.75" thickBot="1" x14ac:dyDescent="0.5">
      <c r="A64" s="2">
        <v>62</v>
      </c>
      <c r="B64" s="9"/>
      <c r="C64" s="127" t="s">
        <v>37</v>
      </c>
      <c r="D64" s="109">
        <v>1</v>
      </c>
      <c r="E64" s="63" t="str">
        <f xml:space="preserve"> DEC2HEX(D64)</f>
        <v>1</v>
      </c>
      <c r="F64" s="63">
        <v>1</v>
      </c>
      <c r="G64" s="104"/>
      <c r="H64" s="6"/>
      <c r="I64" s="11" t="s">
        <v>42</v>
      </c>
      <c r="J64" s="3"/>
    </row>
    <row r="65" spans="1:10" ht="30.4" x14ac:dyDescent="0.45">
      <c r="A65" s="2">
        <v>63</v>
      </c>
      <c r="B65" s="86"/>
      <c r="C65" s="108" t="s">
        <v>39</v>
      </c>
      <c r="D65" s="87" t="s">
        <v>16</v>
      </c>
      <c r="E65" s="110">
        <v>189</v>
      </c>
      <c r="F65" s="95">
        <v>2</v>
      </c>
      <c r="G65" s="136" t="s">
        <v>19</v>
      </c>
      <c r="H65" s="83"/>
      <c r="I65" s="100" t="s">
        <v>38</v>
      </c>
      <c r="J65" s="84"/>
    </row>
    <row r="66" spans="1:10" x14ac:dyDescent="0.45">
      <c r="A66" s="2">
        <v>64</v>
      </c>
      <c r="B66" s="33"/>
      <c r="C66" s="36" t="s">
        <v>40</v>
      </c>
      <c r="D66" s="111">
        <v>50</v>
      </c>
      <c r="E66" s="48" t="str">
        <f t="shared" ref="E66:E93" si="2" xml:space="preserve"> DEC2HEX(D66)</f>
        <v>32</v>
      </c>
      <c r="F66" s="105">
        <v>2</v>
      </c>
      <c r="G66" s="106" t="s">
        <v>19</v>
      </c>
      <c r="H66" s="34"/>
      <c r="I66" s="37" t="s">
        <v>57</v>
      </c>
      <c r="J66" s="35"/>
    </row>
    <row r="67" spans="1:10" x14ac:dyDescent="0.45">
      <c r="A67" s="2">
        <v>65</v>
      </c>
      <c r="B67" s="33"/>
      <c r="C67" s="36" t="s">
        <v>22</v>
      </c>
      <c r="D67" s="111">
        <v>8</v>
      </c>
      <c r="E67" s="48" t="str">
        <f t="shared" si="2"/>
        <v>8</v>
      </c>
      <c r="F67" s="105">
        <v>1</v>
      </c>
      <c r="G67" s="106" t="s">
        <v>19</v>
      </c>
      <c r="H67" s="34"/>
      <c r="I67" s="37" t="s">
        <v>21</v>
      </c>
      <c r="J67" s="35"/>
    </row>
    <row r="68" spans="1:10" x14ac:dyDescent="0.45">
      <c r="A68" s="2">
        <v>66</v>
      </c>
      <c r="B68" s="38"/>
      <c r="C68" s="36" t="s">
        <v>4</v>
      </c>
      <c r="D68" s="115">
        <v>0</v>
      </c>
      <c r="E68" s="48" t="str">
        <f t="shared" si="2"/>
        <v>0</v>
      </c>
      <c r="F68" s="105">
        <v>1</v>
      </c>
      <c r="G68" s="106" t="s">
        <v>19</v>
      </c>
      <c r="H68" s="34"/>
      <c r="I68" s="37" t="s">
        <v>29</v>
      </c>
      <c r="J68" s="35"/>
    </row>
    <row r="69" spans="1:10" ht="14.65" thickBot="1" x14ac:dyDescent="0.5">
      <c r="A69" s="2">
        <v>67</v>
      </c>
      <c r="B69" s="85"/>
      <c r="C69" s="39" t="s">
        <v>2</v>
      </c>
      <c r="D69" s="113">
        <v>4</v>
      </c>
      <c r="E69" s="97" t="str">
        <f t="shared" si="2"/>
        <v>4</v>
      </c>
      <c r="F69" s="107">
        <v>1</v>
      </c>
      <c r="G69" s="137" t="s">
        <v>19</v>
      </c>
      <c r="H69" s="43"/>
      <c r="I69" s="88" t="s">
        <v>41</v>
      </c>
      <c r="J69" s="44"/>
    </row>
    <row r="70" spans="1:10" ht="39.4" x14ac:dyDescent="0.45">
      <c r="A70" s="2">
        <v>68</v>
      </c>
      <c r="B70" s="82"/>
      <c r="C70" s="133" t="s">
        <v>27</v>
      </c>
      <c r="D70" s="112">
        <v>2</v>
      </c>
      <c r="E70" s="66" t="str">
        <f t="shared" si="2"/>
        <v>2</v>
      </c>
      <c r="F70" s="40">
        <v>1</v>
      </c>
      <c r="G70" s="138" t="s">
        <v>19</v>
      </c>
      <c r="H70" s="83"/>
      <c r="I70" s="59" t="s">
        <v>43</v>
      </c>
      <c r="J70" s="84"/>
    </row>
    <row r="71" spans="1:10" x14ac:dyDescent="0.45">
      <c r="A71" s="2">
        <v>69</v>
      </c>
      <c r="B71" s="38"/>
      <c r="C71" s="134" t="s">
        <v>28</v>
      </c>
      <c r="D71" s="115">
        <v>0</v>
      </c>
      <c r="E71" s="48" t="str">
        <f t="shared" si="2"/>
        <v>0</v>
      </c>
      <c r="F71" s="41">
        <v>1</v>
      </c>
      <c r="G71" s="62" t="s">
        <v>19</v>
      </c>
      <c r="H71" s="34"/>
      <c r="I71" s="60" t="s">
        <v>29</v>
      </c>
      <c r="J71" s="35"/>
    </row>
    <row r="72" spans="1:10" x14ac:dyDescent="0.45">
      <c r="A72" s="2">
        <v>70</v>
      </c>
      <c r="B72" s="38"/>
      <c r="C72" s="134" t="s">
        <v>3</v>
      </c>
      <c r="D72" s="111">
        <v>4</v>
      </c>
      <c r="E72" s="48" t="str">
        <f t="shared" si="2"/>
        <v>4</v>
      </c>
      <c r="F72" s="41">
        <v>2</v>
      </c>
      <c r="G72" s="62" t="s">
        <v>19</v>
      </c>
      <c r="H72" s="34"/>
      <c r="I72" s="60" t="s">
        <v>46</v>
      </c>
      <c r="J72" s="35"/>
    </row>
    <row r="73" spans="1:10" x14ac:dyDescent="0.45">
      <c r="A73" s="2">
        <v>71</v>
      </c>
      <c r="B73" s="38"/>
      <c r="C73" s="134" t="s">
        <v>31</v>
      </c>
      <c r="D73" s="111">
        <v>16</v>
      </c>
      <c r="E73" s="48" t="str">
        <f t="shared" si="2"/>
        <v>10</v>
      </c>
      <c r="F73" s="41">
        <v>1</v>
      </c>
      <c r="G73" s="62" t="s">
        <v>19</v>
      </c>
      <c r="H73" s="34"/>
      <c r="I73" s="60" t="s">
        <v>32</v>
      </c>
      <c r="J73" s="35"/>
    </row>
    <row r="74" spans="1:10" x14ac:dyDescent="0.45">
      <c r="A74" s="2">
        <v>72</v>
      </c>
      <c r="B74" s="38"/>
      <c r="C74" s="134" t="s">
        <v>33</v>
      </c>
      <c r="D74" s="111">
        <v>0</v>
      </c>
      <c r="E74" s="48" t="str">
        <f t="shared" si="2"/>
        <v>0</v>
      </c>
      <c r="F74" s="41">
        <v>1</v>
      </c>
      <c r="G74" s="62" t="s">
        <v>19</v>
      </c>
      <c r="H74" s="34"/>
      <c r="I74" s="60" t="s">
        <v>44</v>
      </c>
      <c r="J74" s="35"/>
    </row>
    <row r="75" spans="1:10" ht="25.9" thickBot="1" x14ac:dyDescent="0.5">
      <c r="A75" s="2">
        <v>73</v>
      </c>
      <c r="B75" s="85"/>
      <c r="C75" s="135" t="s">
        <v>48</v>
      </c>
      <c r="D75" s="113">
        <v>0</v>
      </c>
      <c r="E75" s="97" t="str">
        <f t="shared" si="2"/>
        <v>0</v>
      </c>
      <c r="F75" s="42">
        <v>1</v>
      </c>
      <c r="G75" s="139" t="s">
        <v>19</v>
      </c>
      <c r="H75" s="43"/>
      <c r="I75" s="61" t="s">
        <v>45</v>
      </c>
      <c r="J75" s="44"/>
    </row>
    <row r="76" spans="1:10" ht="39.4" x14ac:dyDescent="0.45">
      <c r="A76" s="2">
        <v>74</v>
      </c>
      <c r="B76" s="82"/>
      <c r="C76" s="133" t="s">
        <v>27</v>
      </c>
      <c r="D76" s="112">
        <v>2</v>
      </c>
      <c r="E76" s="66" t="str">
        <f t="shared" si="2"/>
        <v>2</v>
      </c>
      <c r="F76" s="40">
        <v>1</v>
      </c>
      <c r="G76" s="138" t="s">
        <v>19</v>
      </c>
      <c r="H76" s="83"/>
      <c r="I76" s="59" t="s">
        <v>47</v>
      </c>
      <c r="J76" s="84"/>
    </row>
    <row r="77" spans="1:10" x14ac:dyDescent="0.45">
      <c r="A77" s="2">
        <v>75</v>
      </c>
      <c r="B77" s="38"/>
      <c r="C77" s="134" t="s">
        <v>28</v>
      </c>
      <c r="D77" s="115">
        <v>0</v>
      </c>
      <c r="E77" s="48" t="str">
        <f t="shared" si="2"/>
        <v>0</v>
      </c>
      <c r="F77" s="41">
        <v>1</v>
      </c>
      <c r="G77" s="62" t="s">
        <v>19</v>
      </c>
      <c r="H77" s="34"/>
      <c r="I77" s="60" t="s">
        <v>29</v>
      </c>
      <c r="J77" s="35"/>
    </row>
    <row r="78" spans="1:10" x14ac:dyDescent="0.45">
      <c r="A78" s="2">
        <v>76</v>
      </c>
      <c r="B78" s="38"/>
      <c r="C78" s="134" t="s">
        <v>3</v>
      </c>
      <c r="D78" s="111">
        <v>17</v>
      </c>
      <c r="E78" s="48" t="str">
        <f t="shared" si="2"/>
        <v>11</v>
      </c>
      <c r="F78" s="41">
        <v>2</v>
      </c>
      <c r="G78" s="62" t="s">
        <v>19</v>
      </c>
      <c r="H78" s="34"/>
      <c r="I78" s="60" t="s">
        <v>46</v>
      </c>
      <c r="J78" s="35"/>
    </row>
    <row r="79" spans="1:10" x14ac:dyDescent="0.45">
      <c r="A79" s="2">
        <v>77</v>
      </c>
      <c r="B79" s="38"/>
      <c r="C79" s="134" t="s">
        <v>31</v>
      </c>
      <c r="D79" s="111">
        <v>16</v>
      </c>
      <c r="E79" s="48" t="str">
        <f t="shared" si="2"/>
        <v>10</v>
      </c>
      <c r="F79" s="41">
        <v>1</v>
      </c>
      <c r="G79" s="62" t="s">
        <v>19</v>
      </c>
      <c r="H79" s="34"/>
      <c r="I79" s="60" t="s">
        <v>32</v>
      </c>
      <c r="J79" s="35"/>
    </row>
    <row r="80" spans="1:10" x14ac:dyDescent="0.45">
      <c r="A80" s="2">
        <v>78</v>
      </c>
      <c r="B80" s="38"/>
      <c r="C80" s="134" t="s">
        <v>33</v>
      </c>
      <c r="D80" s="111">
        <v>16</v>
      </c>
      <c r="E80" s="48" t="str">
        <f t="shared" si="2"/>
        <v>10</v>
      </c>
      <c r="F80" s="41">
        <v>1</v>
      </c>
      <c r="G80" s="62" t="s">
        <v>19</v>
      </c>
      <c r="H80" s="34"/>
      <c r="I80" s="60" t="s">
        <v>44</v>
      </c>
      <c r="J80" s="35"/>
    </row>
    <row r="81" spans="1:10" ht="25.9" thickBot="1" x14ac:dyDescent="0.5">
      <c r="A81" s="2">
        <v>79</v>
      </c>
      <c r="B81" s="85"/>
      <c r="C81" s="135" t="s">
        <v>48</v>
      </c>
      <c r="D81" s="113">
        <v>0</v>
      </c>
      <c r="E81" s="97" t="str">
        <f t="shared" si="2"/>
        <v>0</v>
      </c>
      <c r="F81" s="42">
        <v>1</v>
      </c>
      <c r="G81" s="139" t="s">
        <v>19</v>
      </c>
      <c r="H81" s="43"/>
      <c r="I81" s="61" t="s">
        <v>45</v>
      </c>
      <c r="J81" s="44"/>
    </row>
    <row r="82" spans="1:10" ht="39.4" x14ac:dyDescent="0.45">
      <c r="A82" s="2">
        <v>80</v>
      </c>
      <c r="B82" s="82"/>
      <c r="C82" s="133" t="s">
        <v>27</v>
      </c>
      <c r="D82" s="112">
        <v>2</v>
      </c>
      <c r="E82" s="66" t="str">
        <f t="shared" si="2"/>
        <v>2</v>
      </c>
      <c r="F82" s="40">
        <v>1</v>
      </c>
      <c r="G82" s="138" t="s">
        <v>19</v>
      </c>
      <c r="H82" s="83"/>
      <c r="I82" s="59" t="s">
        <v>66</v>
      </c>
      <c r="J82" s="84"/>
    </row>
    <row r="83" spans="1:10" x14ac:dyDescent="0.45">
      <c r="A83" s="2">
        <v>81</v>
      </c>
      <c r="B83" s="38"/>
      <c r="C83" s="134" t="s">
        <v>28</v>
      </c>
      <c r="D83" s="115">
        <v>0</v>
      </c>
      <c r="E83" s="48" t="str">
        <f t="shared" si="2"/>
        <v>0</v>
      </c>
      <c r="F83" s="41">
        <v>1</v>
      </c>
      <c r="G83" s="62" t="s">
        <v>19</v>
      </c>
      <c r="H83" s="34"/>
      <c r="I83" s="60" t="s">
        <v>29</v>
      </c>
      <c r="J83" s="35"/>
    </row>
    <row r="84" spans="1:10" x14ac:dyDescent="0.45">
      <c r="A84" s="2">
        <v>82</v>
      </c>
      <c r="B84" s="38"/>
      <c r="C84" s="134" t="s">
        <v>3</v>
      </c>
      <c r="D84" s="111">
        <v>13</v>
      </c>
      <c r="E84" s="48" t="str">
        <f t="shared" si="2"/>
        <v>D</v>
      </c>
      <c r="F84" s="41">
        <v>2</v>
      </c>
      <c r="G84" s="62" t="s">
        <v>19</v>
      </c>
      <c r="H84" s="34"/>
      <c r="I84" s="60" t="s">
        <v>46</v>
      </c>
      <c r="J84" s="35"/>
    </row>
    <row r="85" spans="1:10" x14ac:dyDescent="0.45">
      <c r="A85" s="2">
        <v>83</v>
      </c>
      <c r="B85" s="38"/>
      <c r="C85" s="134" t="s">
        <v>31</v>
      </c>
      <c r="D85" s="111">
        <v>16</v>
      </c>
      <c r="E85" s="48" t="str">
        <f t="shared" si="2"/>
        <v>10</v>
      </c>
      <c r="F85" s="41">
        <v>1</v>
      </c>
      <c r="G85" s="62" t="s">
        <v>19</v>
      </c>
      <c r="H85" s="34"/>
      <c r="I85" s="60" t="s">
        <v>32</v>
      </c>
      <c r="J85" s="35"/>
    </row>
    <row r="86" spans="1:10" x14ac:dyDescent="0.45">
      <c r="A86" s="2">
        <v>84</v>
      </c>
      <c r="B86" s="38"/>
      <c r="C86" s="134" t="s">
        <v>33</v>
      </c>
      <c r="D86" s="111">
        <v>32</v>
      </c>
      <c r="E86" s="48" t="str">
        <f t="shared" si="2"/>
        <v>20</v>
      </c>
      <c r="F86" s="41">
        <v>1</v>
      </c>
      <c r="G86" s="62" t="s">
        <v>19</v>
      </c>
      <c r="H86" s="34"/>
      <c r="I86" s="60" t="s">
        <v>44</v>
      </c>
      <c r="J86" s="35"/>
    </row>
    <row r="87" spans="1:10" ht="25.9" thickBot="1" x14ac:dyDescent="0.5">
      <c r="A87" s="2">
        <v>85</v>
      </c>
      <c r="B87" s="85"/>
      <c r="C87" s="135" t="s">
        <v>48</v>
      </c>
      <c r="D87" s="113">
        <v>0</v>
      </c>
      <c r="E87" s="97" t="str">
        <f t="shared" si="2"/>
        <v>0</v>
      </c>
      <c r="F87" s="42">
        <v>1</v>
      </c>
      <c r="G87" s="139" t="s">
        <v>19</v>
      </c>
      <c r="H87" s="43"/>
      <c r="I87" s="61" t="s">
        <v>45</v>
      </c>
      <c r="J87" s="44"/>
    </row>
    <row r="88" spans="1:10" ht="39.4" x14ac:dyDescent="0.45">
      <c r="A88" s="2">
        <v>86</v>
      </c>
      <c r="B88" s="82"/>
      <c r="C88" s="133" t="s">
        <v>27</v>
      </c>
      <c r="D88" s="112">
        <v>2</v>
      </c>
      <c r="E88" s="66" t="str">
        <f t="shared" si="2"/>
        <v>2</v>
      </c>
      <c r="F88" s="40">
        <v>1</v>
      </c>
      <c r="G88" s="138" t="s">
        <v>19</v>
      </c>
      <c r="H88" s="83"/>
      <c r="I88" s="59" t="s">
        <v>67</v>
      </c>
      <c r="J88" s="84"/>
    </row>
    <row r="89" spans="1:10" x14ac:dyDescent="0.45">
      <c r="A89" s="2">
        <v>87</v>
      </c>
      <c r="B89" s="38"/>
      <c r="C89" s="134" t="s">
        <v>28</v>
      </c>
      <c r="D89" s="115">
        <v>0</v>
      </c>
      <c r="E89" s="48" t="str">
        <f t="shared" si="2"/>
        <v>0</v>
      </c>
      <c r="F89" s="41">
        <v>1</v>
      </c>
      <c r="G89" s="62" t="s">
        <v>19</v>
      </c>
      <c r="H89" s="34"/>
      <c r="I89" s="60" t="s">
        <v>29</v>
      </c>
      <c r="J89" s="35"/>
    </row>
    <row r="90" spans="1:10" x14ac:dyDescent="0.45">
      <c r="A90" s="2">
        <v>88</v>
      </c>
      <c r="B90" s="38"/>
      <c r="C90" s="134" t="s">
        <v>3</v>
      </c>
      <c r="D90" s="111">
        <v>14</v>
      </c>
      <c r="E90" s="48" t="str">
        <f t="shared" si="2"/>
        <v>E</v>
      </c>
      <c r="F90" s="41">
        <v>2</v>
      </c>
      <c r="G90" s="62" t="s">
        <v>19</v>
      </c>
      <c r="H90" s="34"/>
      <c r="I90" s="60" t="s">
        <v>46</v>
      </c>
      <c r="J90" s="35"/>
    </row>
    <row r="91" spans="1:10" x14ac:dyDescent="0.45">
      <c r="A91" s="2">
        <v>89</v>
      </c>
      <c r="B91" s="38"/>
      <c r="C91" s="134" t="s">
        <v>31</v>
      </c>
      <c r="D91" s="111">
        <v>16</v>
      </c>
      <c r="E91" s="48" t="str">
        <f t="shared" si="2"/>
        <v>10</v>
      </c>
      <c r="F91" s="41">
        <v>1</v>
      </c>
      <c r="G91" s="62" t="s">
        <v>19</v>
      </c>
      <c r="H91" s="34"/>
      <c r="I91" s="60" t="s">
        <v>32</v>
      </c>
      <c r="J91" s="35"/>
    </row>
    <row r="92" spans="1:10" x14ac:dyDescent="0.45">
      <c r="A92" s="2">
        <v>90</v>
      </c>
      <c r="B92" s="38"/>
      <c r="C92" s="134" t="s">
        <v>33</v>
      </c>
      <c r="D92" s="111">
        <v>48</v>
      </c>
      <c r="E92" s="48" t="str">
        <f t="shared" si="2"/>
        <v>30</v>
      </c>
      <c r="F92" s="41">
        <v>1</v>
      </c>
      <c r="G92" s="62" t="s">
        <v>19</v>
      </c>
      <c r="H92" s="34"/>
      <c r="I92" s="60" t="s">
        <v>44</v>
      </c>
      <c r="J92" s="35"/>
    </row>
    <row r="93" spans="1:10" ht="25.9" thickBot="1" x14ac:dyDescent="0.5">
      <c r="A93" s="2">
        <v>91</v>
      </c>
      <c r="B93" s="85"/>
      <c r="C93" s="135" t="s">
        <v>48</v>
      </c>
      <c r="D93" s="113">
        <v>0</v>
      </c>
      <c r="E93" s="97" t="str">
        <f t="shared" si="2"/>
        <v>0</v>
      </c>
      <c r="F93" s="42">
        <v>1</v>
      </c>
      <c r="G93" s="139" t="s">
        <v>19</v>
      </c>
      <c r="H93" s="43"/>
      <c r="I93" s="61" t="s">
        <v>45</v>
      </c>
      <c r="J93" s="44"/>
    </row>
    <row r="94" spans="1:10" ht="14.65" thickBot="1" x14ac:dyDescent="0.5">
      <c r="A94" s="2">
        <v>92</v>
      </c>
      <c r="B94" s="7"/>
      <c r="C94" s="46" t="s">
        <v>49</v>
      </c>
      <c r="D94" s="112">
        <v>500</v>
      </c>
      <c r="E94" s="98" t="str">
        <f xml:space="preserve"> DEC2HEX(D94)</f>
        <v>1F4</v>
      </c>
      <c r="F94" s="47">
        <v>2</v>
      </c>
      <c r="G94" s="125" t="s">
        <v>19</v>
      </c>
      <c r="H94" s="5"/>
      <c r="I94" s="46" t="s">
        <v>50</v>
      </c>
      <c r="J94" s="8"/>
    </row>
    <row r="95" spans="1:10" ht="14.65" thickBot="1" x14ac:dyDescent="0.5">
      <c r="A95" s="2">
        <v>93</v>
      </c>
      <c r="B95" s="50"/>
      <c r="C95" s="116" t="s">
        <v>51</v>
      </c>
      <c r="D95" s="121">
        <v>0</v>
      </c>
      <c r="E95" s="51" t="str">
        <f xml:space="preserve"> DEC2HEX(D95)</f>
        <v>0</v>
      </c>
      <c r="F95" s="51">
        <v>1</v>
      </c>
      <c r="G95" s="64" t="s">
        <v>19</v>
      </c>
      <c r="H95" s="52"/>
      <c r="I95" s="140" t="s">
        <v>52</v>
      </c>
      <c r="J95" s="53"/>
    </row>
    <row r="96" spans="1:10" ht="14.65" thickBot="1" x14ac:dyDescent="0.5">
      <c r="A96" s="2">
        <v>94</v>
      </c>
      <c r="B96" s="117"/>
      <c r="C96" s="118" t="s">
        <v>8</v>
      </c>
      <c r="D96" s="122">
        <v>0</v>
      </c>
      <c r="E96" s="10" t="str">
        <f xml:space="preserve"> DEC2HEX(D96)</f>
        <v>0</v>
      </c>
      <c r="F96" s="119">
        <v>1</v>
      </c>
      <c r="G96" s="64" t="s">
        <v>19</v>
      </c>
      <c r="H96" s="6"/>
      <c r="I96" s="120" t="s">
        <v>53</v>
      </c>
      <c r="J96" s="3"/>
    </row>
    <row r="97" spans="2:10" x14ac:dyDescent="0.45">
      <c r="B97" s="1"/>
      <c r="C97" s="1"/>
      <c r="D97" s="1"/>
      <c r="E97" s="1"/>
      <c r="F97" s="1"/>
      <c r="G97" s="1"/>
      <c r="H97" s="1"/>
      <c r="I97" s="1"/>
      <c r="J97" s="1"/>
    </row>
    <row r="100" spans="2:10" ht="14.65" thickBot="1" x14ac:dyDescent="0.5"/>
    <row r="101" spans="2:10" x14ac:dyDescent="0.45">
      <c r="C101" s="72" t="s">
        <v>61</v>
      </c>
      <c r="D101" s="73"/>
      <c r="E101" s="73"/>
      <c r="F101" s="74">
        <f>SUM(F4:F100)</f>
        <v>112</v>
      </c>
    </row>
    <row r="102" spans="2:10" ht="14.65" thickBot="1" x14ac:dyDescent="0.5">
      <c r="C102" s="68" t="s">
        <v>62</v>
      </c>
      <c r="D102" s="75"/>
      <c r="E102" s="75"/>
      <c r="F102" s="76">
        <f xml:space="preserve"> F101/2</f>
        <v>56</v>
      </c>
    </row>
    <row r="123" spans="5:5" x14ac:dyDescent="0.45">
      <c r="E123" s="58"/>
    </row>
    <row r="124" spans="5:5" x14ac:dyDescent="0.45">
      <c r="E124" s="58"/>
    </row>
  </sheetData>
  <pageMargins left="0.7" right="0.7" top="0.75" bottom="0.75" header="0.3" footer="0.3"/>
  <pageSetup paperSize="9" orientation="portrait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1CAF5201C82C43AA4DBD7D4A985E69" ma:contentTypeVersion="8" ma:contentTypeDescription="Creare un nuovo documento." ma:contentTypeScope="" ma:versionID="d7edb49ca2c613cc8ad6107ce781fb58">
  <xsd:schema xmlns:xsd="http://www.w3.org/2001/XMLSchema" xmlns:xs="http://www.w3.org/2001/XMLSchema" xmlns:p="http://schemas.microsoft.com/office/2006/metadata/properties" xmlns:ns2="ff5a5868-af0a-410c-839e-8d12f9bbae36" targetNamespace="http://schemas.microsoft.com/office/2006/metadata/properties" ma:root="true" ma:fieldsID="397f218d4c36cc62f92bab3f6227786d" ns2:_="">
    <xsd:import namespace="ff5a5868-af0a-410c-839e-8d12f9bbae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5a5868-af0a-410c-839e-8d12f9bba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C3FD7B7-1D98-44F2-B3E9-82F326D438AE}"/>
</file>

<file path=customXml/itemProps2.xml><?xml version="1.0" encoding="utf-8"?>
<ds:datastoreItem xmlns:ds="http://schemas.openxmlformats.org/officeDocument/2006/customXml" ds:itemID="{5E8174B2-56CE-4D24-84DB-F39D3524F150}"/>
</file>

<file path=customXml/itemProps3.xml><?xml version="1.0" encoding="utf-8"?>
<ds:datastoreItem xmlns:ds="http://schemas.openxmlformats.org/officeDocument/2006/customXml" ds:itemID="{3126287A-4EEB-4413-BDAB-CD73A35D21C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Template</vt:lpstr>
      <vt:lpstr>Torque FrontLeft</vt:lpstr>
      <vt:lpstr>Torque FrontRight</vt:lpstr>
      <vt:lpstr>Torque RearLeft</vt:lpstr>
      <vt:lpstr>Torque RearRight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2021-06-24T07:41:38Z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0x010100B21CAF5201C82C43AA4DBD7D4A985E69</vt:lpwstr>
  </property>
</Properties>
</file>